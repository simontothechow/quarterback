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dae8be99c1de88c/Desktop/Quarterback_v1/data/Futures data B/"/>
    </mc:Choice>
  </mc:AlternateContent>
  <xr:revisionPtr revIDLastSave="22" documentId="11_FB03BE42D34BB8AE67457477415DCE3AA7CABA68" xr6:coauthVersionLast="47" xr6:coauthVersionMax="47" xr10:uidLastSave="{BE69F380-49B1-4BF4-94FF-D97AAA45F8B1}"/>
  <bookViews>
    <workbookView xWindow="-98" yWindow="-98" windowWidth="23236" windowHeight="13996" xr2:uid="{00000000-000D-0000-FFFF-FFFF00000000}"/>
  </bookViews>
  <sheets>
    <sheet name="Mid Spreads (2)" sheetId="2" r:id="rId1"/>
    <sheet name="Mid Spread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2" l="1"/>
  <c r="U9" i="2" s="1"/>
  <c r="U3" i="2"/>
  <c r="U2" i="2"/>
  <c r="U6" i="1"/>
  <c r="U7" i="1" s="1"/>
  <c r="U3" i="1"/>
  <c r="U2" i="1"/>
  <c r="U12" i="2" l="1"/>
  <c r="U7" i="2"/>
  <c r="U9" i="1"/>
</calcChain>
</file>

<file path=xl/sharedStrings.xml><?xml version="1.0" encoding="utf-8"?>
<sst xmlns="http://schemas.openxmlformats.org/spreadsheetml/2006/main" count="224" uniqueCount="60">
  <si>
    <t>End</t>
  </si>
  <si>
    <t>AXWF6</t>
  </si>
  <si>
    <t>AXWG6</t>
  </si>
  <si>
    <t>AXWH6</t>
  </si>
  <si>
    <t>AXWJ6</t>
  </si>
  <si>
    <t>AXWK6</t>
  </si>
  <si>
    <t>AXWM6</t>
  </si>
  <si>
    <t>AXWU6</t>
  </si>
  <si>
    <t>AXWZ6</t>
  </si>
  <si>
    <t>AXWH7</t>
  </si>
  <si>
    <t>AXWM7</t>
  </si>
  <si>
    <t>AXWU7</t>
  </si>
  <si>
    <t>AXWZ7</t>
  </si>
  <si>
    <t>AXWH8</t>
  </si>
  <si>
    <t>AXWM8</t>
  </si>
  <si>
    <t>#N/A Real T</t>
  </si>
  <si>
    <t>Start</t>
  </si>
  <si>
    <t>last_price</t>
  </si>
  <si>
    <t>FUT_DLV_DT_FIRST</t>
  </si>
  <si>
    <t>1/16/2026</t>
  </si>
  <si>
    <t>2/20/2026</t>
  </si>
  <si>
    <t>3/20/2026</t>
  </si>
  <si>
    <t>4/17/2026</t>
  </si>
  <si>
    <t>5/15/2026</t>
  </si>
  <si>
    <t>6/18/2026</t>
  </si>
  <si>
    <t>9/18/2026</t>
  </si>
  <si>
    <t>12/18/2026</t>
  </si>
  <si>
    <t>3/19/2027</t>
  </si>
  <si>
    <t>6/17/2027</t>
  </si>
  <si>
    <t>9/17/2027</t>
  </si>
  <si>
    <t>12/17/2027</t>
  </si>
  <si>
    <t>AXWZ5</t>
  </si>
  <si>
    <t>12/19/2025</t>
  </si>
  <si>
    <t>VALUEERROR</t>
  </si>
  <si>
    <t>Real Tir 1/16/2026</t>
  </si>
  <si>
    <t>Real Tir 2/20/2026</t>
  </si>
  <si>
    <t>3/17/2028</t>
  </si>
  <si>
    <t>6/16/2028</t>
  </si>
  <si>
    <t>AXWU8</t>
  </si>
  <si>
    <t>9/15/2028</t>
  </si>
  <si>
    <t>AXWZ8</t>
  </si>
  <si>
    <t>12/15/2028</t>
  </si>
  <si>
    <t>AXWH9</t>
  </si>
  <si>
    <t>12/21/2029</t>
  </si>
  <si>
    <t>AXWZ0</t>
  </si>
  <si>
    <t>12/20/2030</t>
  </si>
  <si>
    <t>AXWZ31</t>
  </si>
  <si>
    <t>12/19/2031</t>
  </si>
  <si>
    <t>AXWZ32</t>
  </si>
  <si>
    <t>12/17/2032</t>
  </si>
  <si>
    <t>AXWZ33</t>
  </si>
  <si>
    <t>12/16/2033</t>
  </si>
  <si>
    <t>AXWZ34</t>
  </si>
  <si>
    <t>12/15/2034</t>
  </si>
  <si>
    <t>AXWZ35</t>
  </si>
  <si>
    <t>12/21/2035</t>
  </si>
  <si>
    <t>Steepness</t>
  </si>
  <si>
    <t>-13.40%</t>
  </si>
  <si>
    <t>today</t>
  </si>
  <si>
    <t>2/27/2026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</si>
</sst>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99FF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FF6666"/>
        <bgColor rgb="FFFF6666"/>
      </patternFill>
    </fill>
    <fill>
      <patternFill patternType="solid">
        <fgColor rgb="FF404040"/>
        <bgColor rgb="FF404040"/>
      </patternFill>
    </fill>
    <fill>
      <patternFill patternType="solid">
        <fgColor rgb="FFFFA500"/>
        <bgColor rgb="FFFFA500"/>
      </patternFill>
    </fill>
    <fill>
      <patternFill patternType="solid">
        <fgColor rgb="FFFFCC80"/>
        <bgColor rgb="FFFFCC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1830-181D-4502-B7F7-EDBDEB43307D}">
  <dimension ref="A1:U35"/>
  <sheetViews>
    <sheetView tabSelected="1" workbookViewId="0">
      <selection activeCell="J7" sqref="J7"/>
    </sheetView>
  </sheetViews>
  <sheetFormatPr defaultRowHeight="14.25" x14ac:dyDescent="0.45"/>
  <cols>
    <col min="1" max="18" width="12" customWidth="1"/>
    <col min="21" max="21" width="9.9296875" bestFit="1" customWidth="1"/>
  </cols>
  <sheetData>
    <row r="1" spans="1:21" x14ac:dyDescent="0.45">
      <c r="T1" t="s">
        <v>58</v>
      </c>
      <c r="U1" s="7" t="s">
        <v>59</v>
      </c>
    </row>
    <row r="2" spans="1:21" x14ac:dyDescent="0.45">
      <c r="E2">
        <v>-42</v>
      </c>
      <c r="F2">
        <v>-7</v>
      </c>
      <c r="G2">
        <v>21</v>
      </c>
      <c r="H2">
        <v>49</v>
      </c>
      <c r="I2">
        <v>77</v>
      </c>
      <c r="J2">
        <v>111</v>
      </c>
      <c r="K2">
        <v>203</v>
      </c>
      <c r="L2">
        <v>294</v>
      </c>
      <c r="M2">
        <v>385</v>
      </c>
      <c r="N2">
        <v>475</v>
      </c>
      <c r="O2">
        <v>567</v>
      </c>
      <c r="P2">
        <v>658</v>
      </c>
      <c r="Q2">
        <v>749</v>
      </c>
      <c r="R2">
        <v>840</v>
      </c>
      <c r="U2" s="7" t="e">
        <f>E5-U1</f>
        <v>#VALUE!</v>
      </c>
    </row>
    <row r="3" spans="1:21" x14ac:dyDescent="0.45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U3" t="e">
        <f>U1-E5</f>
        <v>#VALUE!</v>
      </c>
    </row>
    <row r="4" spans="1:21" x14ac:dyDescent="0.45">
      <c r="E4">
        <v>116</v>
      </c>
      <c r="F4" s="1" t="s">
        <v>15</v>
      </c>
      <c r="G4">
        <v>44.5</v>
      </c>
      <c r="H4">
        <v>48</v>
      </c>
      <c r="I4">
        <v>110</v>
      </c>
      <c r="J4">
        <v>99</v>
      </c>
      <c r="K4">
        <v>77</v>
      </c>
      <c r="L4">
        <v>55.5</v>
      </c>
      <c r="M4">
        <v>81.5</v>
      </c>
      <c r="N4">
        <v>66.5</v>
      </c>
      <c r="O4">
        <v>65.5</v>
      </c>
      <c r="P4" s="1">
        <v>74</v>
      </c>
      <c r="Q4" s="1">
        <v>65.5</v>
      </c>
      <c r="R4" s="1">
        <v>74</v>
      </c>
    </row>
    <row r="5" spans="1:21" x14ac:dyDescent="0.45">
      <c r="B5" t="s">
        <v>16</v>
      </c>
      <c r="C5" t="s">
        <v>17</v>
      </c>
      <c r="D5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26</v>
      </c>
      <c r="M5" s="8" t="s">
        <v>27</v>
      </c>
      <c r="N5" s="8" t="s">
        <v>28</v>
      </c>
      <c r="O5" s="8" t="s">
        <v>29</v>
      </c>
      <c r="P5" s="8" t="s">
        <v>30</v>
      </c>
    </row>
    <row r="6" spans="1:21" x14ac:dyDescent="0.45">
      <c r="A6">
        <v>-70</v>
      </c>
      <c r="B6" t="s">
        <v>31</v>
      </c>
      <c r="C6">
        <v>65</v>
      </c>
      <c r="D6" t="s">
        <v>32</v>
      </c>
      <c r="E6" s="2">
        <v>-11.5</v>
      </c>
      <c r="F6" s="2" t="s">
        <v>33</v>
      </c>
      <c r="G6">
        <v>60.26923</v>
      </c>
      <c r="H6">
        <v>58</v>
      </c>
      <c r="I6">
        <v>88.571430000000007</v>
      </c>
      <c r="J6">
        <v>85.850830000000002</v>
      </c>
      <c r="K6">
        <v>73.923079999999999</v>
      </c>
      <c r="L6">
        <v>57.326920000000001</v>
      </c>
      <c r="M6">
        <v>78.961539999999999</v>
      </c>
      <c r="N6">
        <v>66.307339999999996</v>
      </c>
      <c r="O6">
        <v>68.56044</v>
      </c>
      <c r="P6">
        <v>65.451920000000001</v>
      </c>
      <c r="Q6" s="1">
        <v>83.290599999999998</v>
      </c>
      <c r="R6" s="1">
        <v>73.769199999999998</v>
      </c>
      <c r="U6" s="7">
        <f ca="1">TODAY()</f>
        <v>46080</v>
      </c>
    </row>
    <row r="7" spans="1:21" x14ac:dyDescent="0.45">
      <c r="A7">
        <v>-42</v>
      </c>
      <c r="B7" t="s">
        <v>1</v>
      </c>
      <c r="C7" t="e">
        <v>#N/A</v>
      </c>
      <c r="D7" t="s">
        <v>34</v>
      </c>
      <c r="E7" s="2" t="s">
        <v>33</v>
      </c>
      <c r="F7" s="2" t="s">
        <v>33</v>
      </c>
      <c r="G7" s="2" t="s">
        <v>33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33</v>
      </c>
      <c r="U7" s="7">
        <f ca="1">U6+10</f>
        <v>46090</v>
      </c>
    </row>
    <row r="8" spans="1:21" x14ac:dyDescent="0.45">
      <c r="A8">
        <v>-7</v>
      </c>
      <c r="B8" t="s">
        <v>2</v>
      </c>
      <c r="C8" t="e">
        <v>#N/A</v>
      </c>
      <c r="D8" t="s">
        <v>35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33</v>
      </c>
      <c r="J8" s="2" t="s">
        <v>33</v>
      </c>
      <c r="K8" s="2" t="s">
        <v>33</v>
      </c>
      <c r="L8" s="2" t="s">
        <v>33</v>
      </c>
      <c r="M8" s="2" t="s">
        <v>33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</row>
    <row r="9" spans="1:21" x14ac:dyDescent="0.45">
      <c r="A9">
        <v>21</v>
      </c>
      <c r="B9" t="s">
        <v>3</v>
      </c>
      <c r="C9">
        <v>44.5</v>
      </c>
      <c r="D9" t="s">
        <v>21</v>
      </c>
      <c r="E9" s="3"/>
      <c r="F9" s="3"/>
      <c r="G9">
        <v>50.625</v>
      </c>
      <c r="H9">
        <v>134.5625</v>
      </c>
      <c r="I9" s="4">
        <v>111.71666999999999</v>
      </c>
      <c r="J9">
        <v>80.75</v>
      </c>
      <c r="K9">
        <v>56.346150000000002</v>
      </c>
      <c r="L9">
        <v>83.634619999999998</v>
      </c>
      <c r="M9">
        <v>67.517619999999994</v>
      </c>
      <c r="N9">
        <v>69.942310000000006</v>
      </c>
      <c r="O9">
        <v>66.192310000000006</v>
      </c>
      <c r="P9" s="1">
        <v>86.168270000000007</v>
      </c>
      <c r="Q9" s="1">
        <v>75.269199999999998</v>
      </c>
      <c r="R9" s="1"/>
      <c r="U9" t="e">
        <f ca="1">U6-E5</f>
        <v>#VALUE!</v>
      </c>
    </row>
    <row r="10" spans="1:21" x14ac:dyDescent="0.45">
      <c r="A10">
        <v>49</v>
      </c>
      <c r="B10" t="s">
        <v>4</v>
      </c>
      <c r="C10">
        <v>72</v>
      </c>
      <c r="D10" t="s">
        <v>22</v>
      </c>
      <c r="E10" s="3"/>
      <c r="F10" s="3"/>
      <c r="G10" s="3"/>
      <c r="H10">
        <v>176.5</v>
      </c>
      <c r="I10">
        <v>120.33871000000001</v>
      </c>
      <c r="J10">
        <v>78.590909999999994</v>
      </c>
      <c r="K10">
        <v>52.2</v>
      </c>
      <c r="L10">
        <v>82.885419999999996</v>
      </c>
      <c r="M10">
        <v>65.867369999999994</v>
      </c>
      <c r="N10">
        <v>68.716220000000007</v>
      </c>
      <c r="O10">
        <v>64.977010000000007</v>
      </c>
      <c r="P10">
        <v>85.91</v>
      </c>
      <c r="Q10" s="1">
        <v>74.654300000000006</v>
      </c>
      <c r="R10" s="1"/>
    </row>
    <row r="11" spans="1:21" x14ac:dyDescent="0.45">
      <c r="A11">
        <v>77</v>
      </c>
      <c r="B11" t="s">
        <v>5</v>
      </c>
      <c r="C11">
        <v>95</v>
      </c>
      <c r="D11" t="s">
        <v>23</v>
      </c>
      <c r="E11" s="3"/>
      <c r="F11" s="3"/>
      <c r="G11" s="3"/>
      <c r="H11" s="3"/>
      <c r="I11" s="1">
        <v>108.05882</v>
      </c>
      <c r="J11">
        <v>66</v>
      </c>
      <c r="K11">
        <v>41.483870000000003</v>
      </c>
      <c r="L11">
        <v>78.125</v>
      </c>
      <c r="M11">
        <v>60.986179999999997</v>
      </c>
      <c r="N11">
        <v>64.914289999999994</v>
      </c>
      <c r="O11" s="1">
        <v>61.590359999999997</v>
      </c>
      <c r="P11" s="1">
        <v>83.854169999999996</v>
      </c>
      <c r="Q11" s="1">
        <v>72.431169999999995</v>
      </c>
      <c r="R11" s="1"/>
      <c r="U11" s="7">
        <v>46101</v>
      </c>
    </row>
    <row r="12" spans="1:21" x14ac:dyDescent="0.45">
      <c r="A12">
        <v>111</v>
      </c>
      <c r="B12" t="s">
        <v>6</v>
      </c>
      <c r="C12">
        <v>51.5</v>
      </c>
      <c r="D12" t="s">
        <v>24</v>
      </c>
      <c r="E12" s="3"/>
      <c r="F12" s="3"/>
      <c r="G12" s="3"/>
      <c r="H12" s="3"/>
      <c r="I12" s="3"/>
      <c r="J12" s="1">
        <v>107.7663</v>
      </c>
      <c r="K12" s="1">
        <v>57.73077</v>
      </c>
      <c r="L12">
        <v>93.653279999999995</v>
      </c>
      <c r="M12">
        <v>71.074179999999998</v>
      </c>
      <c r="N12" s="1">
        <v>75.259870000000006</v>
      </c>
      <c r="O12">
        <v>68.340950000000007</v>
      </c>
      <c r="P12" s="1">
        <v>90.828770000000006</v>
      </c>
      <c r="Q12" s="1">
        <v>78.023169999999993</v>
      </c>
      <c r="R12" s="1"/>
      <c r="U12">
        <f ca="1">U11-U6</f>
        <v>21</v>
      </c>
    </row>
    <row r="13" spans="1:21" x14ac:dyDescent="0.45">
      <c r="A13">
        <v>203</v>
      </c>
      <c r="B13" t="s">
        <v>7</v>
      </c>
      <c r="C13">
        <v>54.5</v>
      </c>
      <c r="D13" t="s">
        <v>25</v>
      </c>
      <c r="E13" s="3"/>
      <c r="F13" s="3"/>
      <c r="G13" s="3"/>
      <c r="H13" s="3"/>
      <c r="I13" s="3"/>
      <c r="J13" s="3"/>
      <c r="K13" s="1">
        <v>57.73077</v>
      </c>
      <c r="L13">
        <v>111.61538</v>
      </c>
      <c r="M13">
        <v>75.455879999999993</v>
      </c>
      <c r="N13" s="1">
        <v>77.086539999999999</v>
      </c>
      <c r="O13">
        <v>70.407690000000002</v>
      </c>
      <c r="P13" s="1">
        <v>96.339740000000006</v>
      </c>
      <c r="Q13" s="1">
        <v>80.873000000000005</v>
      </c>
      <c r="R13" s="1"/>
    </row>
    <row r="14" spans="1:21" x14ac:dyDescent="0.45">
      <c r="A14">
        <v>294</v>
      </c>
      <c r="B14" t="s">
        <v>8</v>
      </c>
      <c r="C14">
        <v>56</v>
      </c>
      <c r="D14" t="s">
        <v>26</v>
      </c>
      <c r="E14" s="3"/>
      <c r="F14" s="3"/>
      <c r="G14" s="3"/>
      <c r="H14" s="3"/>
      <c r="I14" s="3"/>
      <c r="J14" s="3"/>
      <c r="K14" s="3"/>
      <c r="L14" s="1">
        <v>163.88462000000001</v>
      </c>
      <c r="M14">
        <v>83.555250000000001</v>
      </c>
      <c r="N14" s="1">
        <v>83</v>
      </c>
      <c r="O14" s="1">
        <v>73.173079999999999</v>
      </c>
      <c r="P14" s="1">
        <v>103.73846</v>
      </c>
      <c r="Q14" s="1">
        <v>84.461500000000001</v>
      </c>
      <c r="R14" s="1"/>
    </row>
    <row r="15" spans="1:21" x14ac:dyDescent="0.45">
      <c r="A15">
        <v>385</v>
      </c>
      <c r="B15" t="s">
        <v>9</v>
      </c>
      <c r="C15">
        <v>77.5</v>
      </c>
      <c r="D15" t="s">
        <v>27</v>
      </c>
      <c r="E15" s="3"/>
      <c r="F15" s="3"/>
      <c r="G15" s="3"/>
      <c r="H15" s="3"/>
      <c r="I15" s="3"/>
      <c r="J15" s="3"/>
      <c r="K15" s="3"/>
      <c r="L15" s="3"/>
      <c r="M15" s="5">
        <v>19.44444</v>
      </c>
      <c r="N15">
        <v>51.01923</v>
      </c>
      <c r="O15" s="1">
        <v>48.576920000000001</v>
      </c>
      <c r="P15" s="1">
        <v>92.932689999999994</v>
      </c>
      <c r="Q15" s="1">
        <v>71.961500000000001</v>
      </c>
      <c r="R15" s="1"/>
    </row>
    <row r="16" spans="1:21" x14ac:dyDescent="0.45">
      <c r="A16">
        <v>475</v>
      </c>
      <c r="B16" t="s">
        <v>10</v>
      </c>
      <c r="C16">
        <v>66.5</v>
      </c>
      <c r="D16" t="s">
        <v>28</v>
      </c>
      <c r="E16" s="3"/>
      <c r="F16" s="3"/>
      <c r="G16" s="3"/>
      <c r="H16" s="3"/>
      <c r="I16" s="3"/>
      <c r="J16" s="3"/>
      <c r="K16" s="3"/>
      <c r="L16" s="3"/>
      <c r="M16" s="3"/>
      <c r="N16" s="4">
        <v>81.907610000000005</v>
      </c>
      <c r="O16">
        <v>62.90437</v>
      </c>
      <c r="P16" s="1">
        <v>117.07117</v>
      </c>
      <c r="Q16" s="1">
        <v>84.910799999999995</v>
      </c>
      <c r="R16" s="1"/>
    </row>
    <row r="17" spans="1:18" x14ac:dyDescent="0.45">
      <c r="A17">
        <v>567</v>
      </c>
      <c r="B17" t="s">
        <v>11</v>
      </c>
      <c r="C17">
        <v>69</v>
      </c>
      <c r="D17" t="s">
        <v>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4">
        <v>43.692309999999999</v>
      </c>
      <c r="P17" s="1">
        <v>134.84614999999999</v>
      </c>
      <c r="Q17" s="1">
        <v>85.927000000000007</v>
      </c>
      <c r="R17" s="1"/>
    </row>
    <row r="18" spans="1:18" x14ac:dyDescent="0.45">
      <c r="A18">
        <v>658</v>
      </c>
      <c r="B18" t="s">
        <v>12</v>
      </c>
      <c r="C18">
        <v>75</v>
      </c>
      <c r="D18" t="s">
        <v>30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">
        <v>157.30769000000001</v>
      </c>
      <c r="Q18" s="1">
        <v>72.892300000000006</v>
      </c>
      <c r="R18" s="1"/>
    </row>
    <row r="19" spans="1:18" x14ac:dyDescent="0.45">
      <c r="A19">
        <v>749</v>
      </c>
      <c r="B19" t="s">
        <v>13</v>
      </c>
      <c r="C19">
        <v>70</v>
      </c>
      <c r="D19" t="s">
        <v>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">
        <v>111.53846</v>
      </c>
      <c r="R19" s="1"/>
    </row>
    <row r="20" spans="1:18" x14ac:dyDescent="0.45">
      <c r="A20">
        <v>840</v>
      </c>
      <c r="B20" t="s">
        <v>14</v>
      </c>
      <c r="C20">
        <v>74.5</v>
      </c>
      <c r="D20" t="s">
        <v>37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5">
      <c r="A21">
        <v>931</v>
      </c>
      <c r="B21" t="s">
        <v>38</v>
      </c>
      <c r="C21">
        <v>88</v>
      </c>
      <c r="D21" t="s">
        <v>39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45">
      <c r="A22">
        <v>1022</v>
      </c>
      <c r="B22" t="s">
        <v>40</v>
      </c>
      <c r="C22">
        <v>74</v>
      </c>
      <c r="D22" t="s">
        <v>41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45">
      <c r="A23">
        <v>1393</v>
      </c>
      <c r="B23" t="s">
        <v>42</v>
      </c>
      <c r="C23">
        <v>80</v>
      </c>
      <c r="D23" t="s">
        <v>43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45">
      <c r="A24" s="6">
        <v>1757</v>
      </c>
      <c r="B24" s="6" t="s">
        <v>44</v>
      </c>
      <c r="C24" s="6">
        <v>88</v>
      </c>
      <c r="D24" s="6" t="s">
        <v>45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45">
      <c r="A25">
        <v>2121</v>
      </c>
      <c r="B25" t="s">
        <v>46</v>
      </c>
      <c r="C25">
        <v>94.5</v>
      </c>
      <c r="D25" t="s">
        <v>47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45">
      <c r="A26">
        <v>2485</v>
      </c>
      <c r="B26" t="s">
        <v>48</v>
      </c>
      <c r="C26">
        <v>103.5</v>
      </c>
      <c r="D26" t="s">
        <v>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45">
      <c r="A27">
        <v>2849</v>
      </c>
      <c r="B27" t="s">
        <v>50</v>
      </c>
      <c r="C27">
        <v>115</v>
      </c>
      <c r="D27" t="s">
        <v>51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45">
      <c r="A28">
        <v>3213</v>
      </c>
      <c r="B28" t="s">
        <v>52</v>
      </c>
      <c r="C28">
        <v>120</v>
      </c>
      <c r="D28" t="s">
        <v>53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45">
      <c r="A29">
        <v>3584</v>
      </c>
      <c r="B29" t="s">
        <v>54</v>
      </c>
      <c r="C29">
        <v>122</v>
      </c>
      <c r="D29" t="s">
        <v>55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4" spans="3:15" x14ac:dyDescent="0.45">
      <c r="C34" t="s">
        <v>56</v>
      </c>
    </row>
    <row r="35" spans="3:15" x14ac:dyDescent="0.45">
      <c r="O35" s="4" t="s">
        <v>57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>
      <selection activeCell="S30" sqref="A1:S30"/>
    </sheetView>
  </sheetViews>
  <sheetFormatPr defaultRowHeight="14.25" x14ac:dyDescent="0.45"/>
  <cols>
    <col min="1" max="18" width="12" customWidth="1"/>
    <col min="21" max="21" width="9.9296875" bestFit="1" customWidth="1"/>
  </cols>
  <sheetData>
    <row r="1" spans="1:21" x14ac:dyDescent="0.45">
      <c r="T1" t="s">
        <v>58</v>
      </c>
      <c r="U1" s="7" t="s">
        <v>59</v>
      </c>
    </row>
    <row r="2" spans="1:21" x14ac:dyDescent="0.45">
      <c r="E2">
        <v>-42</v>
      </c>
      <c r="F2">
        <v>-7</v>
      </c>
      <c r="G2">
        <v>21</v>
      </c>
      <c r="H2">
        <v>49</v>
      </c>
      <c r="I2">
        <v>77</v>
      </c>
      <c r="J2">
        <v>111</v>
      </c>
      <c r="K2">
        <v>203</v>
      </c>
      <c r="L2">
        <v>294</v>
      </c>
      <c r="M2">
        <v>385</v>
      </c>
      <c r="N2">
        <v>475</v>
      </c>
      <c r="O2">
        <v>567</v>
      </c>
      <c r="P2">
        <v>658</v>
      </c>
      <c r="Q2">
        <v>749</v>
      </c>
      <c r="R2">
        <v>840</v>
      </c>
      <c r="U2" s="7" t="e">
        <f>E5-U1</f>
        <v>#VALUE!</v>
      </c>
    </row>
    <row r="3" spans="1:21" x14ac:dyDescent="0.45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U3" t="e">
        <f>U1-E5</f>
        <v>#VALUE!</v>
      </c>
    </row>
    <row r="4" spans="1:21" x14ac:dyDescent="0.45">
      <c r="E4">
        <v>116</v>
      </c>
      <c r="F4" s="1" t="s">
        <v>15</v>
      </c>
      <c r="G4">
        <v>44.5</v>
      </c>
      <c r="H4">
        <v>48</v>
      </c>
      <c r="I4">
        <v>110</v>
      </c>
      <c r="J4">
        <v>99</v>
      </c>
      <c r="K4">
        <v>77</v>
      </c>
      <c r="L4">
        <v>55.5</v>
      </c>
      <c r="M4">
        <v>81.5</v>
      </c>
      <c r="N4">
        <v>66.5</v>
      </c>
      <c r="O4">
        <v>65.5</v>
      </c>
      <c r="P4" s="1">
        <v>74</v>
      </c>
      <c r="Q4" s="1">
        <v>65.5</v>
      </c>
      <c r="R4" s="1">
        <v>74</v>
      </c>
    </row>
    <row r="5" spans="1:21" x14ac:dyDescent="0.45">
      <c r="B5" t="s">
        <v>16</v>
      </c>
      <c r="C5" t="s">
        <v>17</v>
      </c>
      <c r="D5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26</v>
      </c>
      <c r="M5" s="8" t="s">
        <v>27</v>
      </c>
      <c r="N5" s="8" t="s">
        <v>28</v>
      </c>
      <c r="O5" s="8" t="s">
        <v>29</v>
      </c>
      <c r="P5" s="8" t="s">
        <v>30</v>
      </c>
    </row>
    <row r="6" spans="1:21" x14ac:dyDescent="0.45">
      <c r="A6">
        <v>-70</v>
      </c>
      <c r="B6" t="s">
        <v>31</v>
      </c>
      <c r="C6">
        <v>65</v>
      </c>
      <c r="D6" t="s">
        <v>32</v>
      </c>
      <c r="E6" s="2">
        <v>-11.5</v>
      </c>
      <c r="F6" s="2" t="s">
        <v>33</v>
      </c>
      <c r="G6">
        <v>60.26923</v>
      </c>
      <c r="H6">
        <v>58</v>
      </c>
      <c r="I6">
        <v>88.571430000000007</v>
      </c>
      <c r="J6">
        <v>85.850830000000002</v>
      </c>
      <c r="K6">
        <v>73.923079999999999</v>
      </c>
      <c r="L6">
        <v>57.326920000000001</v>
      </c>
      <c r="M6">
        <v>78.961539999999999</v>
      </c>
      <c r="N6">
        <v>66.307339999999996</v>
      </c>
      <c r="O6">
        <v>68.56044</v>
      </c>
      <c r="P6">
        <v>65.451920000000001</v>
      </c>
      <c r="Q6" s="1">
        <v>83.290599999999998</v>
      </c>
      <c r="R6" s="1">
        <v>73.769199999999998</v>
      </c>
      <c r="U6" s="7">
        <f ca="1">TODAY()</f>
        <v>46080</v>
      </c>
    </row>
    <row r="7" spans="1:21" x14ac:dyDescent="0.45">
      <c r="A7">
        <v>-42</v>
      </c>
      <c r="B7" t="s">
        <v>1</v>
      </c>
      <c r="C7" t="e">
        <v>#N/A</v>
      </c>
      <c r="D7" t="s">
        <v>34</v>
      </c>
      <c r="E7" s="2" t="s">
        <v>33</v>
      </c>
      <c r="F7" s="2" t="s">
        <v>33</v>
      </c>
      <c r="G7" s="2" t="s">
        <v>33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33</v>
      </c>
      <c r="U7" s="7">
        <f ca="1">U6+10</f>
        <v>46090</v>
      </c>
    </row>
    <row r="8" spans="1:21" x14ac:dyDescent="0.45">
      <c r="A8">
        <v>-7</v>
      </c>
      <c r="B8" t="s">
        <v>2</v>
      </c>
      <c r="C8" t="e">
        <v>#N/A</v>
      </c>
      <c r="D8" t="s">
        <v>35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33</v>
      </c>
      <c r="J8" s="2" t="s">
        <v>33</v>
      </c>
      <c r="K8" s="2" t="s">
        <v>33</v>
      </c>
      <c r="L8" s="2" t="s">
        <v>33</v>
      </c>
      <c r="M8" s="2" t="s">
        <v>33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</row>
    <row r="9" spans="1:21" x14ac:dyDescent="0.45">
      <c r="A9">
        <v>21</v>
      </c>
      <c r="B9" t="s">
        <v>3</v>
      </c>
      <c r="C9">
        <v>44.5</v>
      </c>
      <c r="D9" t="s">
        <v>21</v>
      </c>
      <c r="E9" s="3"/>
      <c r="F9" s="3"/>
      <c r="G9">
        <v>50.625</v>
      </c>
      <c r="H9">
        <v>134.5625</v>
      </c>
      <c r="I9" s="4">
        <v>111.71666999999999</v>
      </c>
      <c r="J9">
        <v>80.75</v>
      </c>
      <c r="K9">
        <v>56.346150000000002</v>
      </c>
      <c r="L9">
        <v>83.634619999999998</v>
      </c>
      <c r="M9">
        <v>67.517619999999994</v>
      </c>
      <c r="N9">
        <v>69.942310000000006</v>
      </c>
      <c r="O9">
        <v>66.192310000000006</v>
      </c>
      <c r="P9" s="1">
        <v>86.168270000000007</v>
      </c>
      <c r="Q9" s="1">
        <v>75.269199999999998</v>
      </c>
      <c r="R9" s="1"/>
      <c r="U9" t="e">
        <f ca="1">U6-E5</f>
        <v>#VALUE!</v>
      </c>
    </row>
    <row r="10" spans="1:21" x14ac:dyDescent="0.45">
      <c r="A10">
        <v>49</v>
      </c>
      <c r="B10" t="s">
        <v>4</v>
      </c>
      <c r="C10">
        <v>72</v>
      </c>
      <c r="D10" t="s">
        <v>22</v>
      </c>
      <c r="E10" s="3"/>
      <c r="F10" s="3"/>
      <c r="G10" s="3"/>
      <c r="H10">
        <v>176.5</v>
      </c>
      <c r="I10">
        <v>120.33871000000001</v>
      </c>
      <c r="J10">
        <v>78.590909999999994</v>
      </c>
      <c r="K10">
        <v>52.2</v>
      </c>
      <c r="L10">
        <v>82.885419999999996</v>
      </c>
      <c r="M10">
        <v>65.867369999999994</v>
      </c>
      <c r="N10">
        <v>68.716220000000007</v>
      </c>
      <c r="O10">
        <v>64.977010000000007</v>
      </c>
      <c r="P10">
        <v>85.91</v>
      </c>
      <c r="Q10" s="1">
        <v>74.654300000000006</v>
      </c>
      <c r="R10" s="1"/>
    </row>
    <row r="11" spans="1:21" x14ac:dyDescent="0.45">
      <c r="A11">
        <v>77</v>
      </c>
      <c r="B11" t="s">
        <v>5</v>
      </c>
      <c r="C11">
        <v>95</v>
      </c>
      <c r="D11" t="s">
        <v>23</v>
      </c>
      <c r="E11" s="3"/>
      <c r="F11" s="3"/>
      <c r="G11" s="3"/>
      <c r="H11" s="3"/>
      <c r="I11" s="1">
        <v>108.05882</v>
      </c>
      <c r="J11">
        <v>66</v>
      </c>
      <c r="K11">
        <v>41.483870000000003</v>
      </c>
      <c r="L11">
        <v>78.125</v>
      </c>
      <c r="M11">
        <v>60.986179999999997</v>
      </c>
      <c r="N11">
        <v>64.914289999999994</v>
      </c>
      <c r="O11" s="1">
        <v>61.590359999999997</v>
      </c>
      <c r="P11" s="1">
        <v>83.854169999999996</v>
      </c>
      <c r="Q11" s="1">
        <v>72.431169999999995</v>
      </c>
      <c r="R11" s="1"/>
    </row>
    <row r="12" spans="1:21" x14ac:dyDescent="0.45">
      <c r="A12">
        <v>111</v>
      </c>
      <c r="B12" t="s">
        <v>6</v>
      </c>
      <c r="C12">
        <v>51.5</v>
      </c>
      <c r="D12" t="s">
        <v>24</v>
      </c>
      <c r="E12" s="3"/>
      <c r="F12" s="3"/>
      <c r="G12" s="3"/>
      <c r="H12" s="3"/>
      <c r="I12" s="3"/>
      <c r="J12" s="1">
        <v>107.7663</v>
      </c>
      <c r="K12" s="1">
        <v>57.73077</v>
      </c>
      <c r="L12">
        <v>93.653279999999995</v>
      </c>
      <c r="M12">
        <v>71.074179999999998</v>
      </c>
      <c r="N12" s="1">
        <v>75.259870000000006</v>
      </c>
      <c r="O12">
        <v>68.340950000000007</v>
      </c>
      <c r="P12" s="1">
        <v>90.828770000000006</v>
      </c>
      <c r="Q12" s="1">
        <v>78.023169999999993</v>
      </c>
      <c r="R12" s="1"/>
    </row>
    <row r="13" spans="1:21" x14ac:dyDescent="0.45">
      <c r="A13">
        <v>203</v>
      </c>
      <c r="B13" t="s">
        <v>7</v>
      </c>
      <c r="C13">
        <v>54.5</v>
      </c>
      <c r="D13" t="s">
        <v>25</v>
      </c>
      <c r="E13" s="3"/>
      <c r="F13" s="3"/>
      <c r="G13" s="3"/>
      <c r="H13" s="3"/>
      <c r="I13" s="3"/>
      <c r="J13" s="3"/>
      <c r="K13" s="1">
        <v>57.73077</v>
      </c>
      <c r="L13">
        <v>111.61538</v>
      </c>
      <c r="M13">
        <v>75.455879999999993</v>
      </c>
      <c r="N13" s="1">
        <v>77.086539999999999</v>
      </c>
      <c r="O13">
        <v>70.407690000000002</v>
      </c>
      <c r="P13" s="1">
        <v>96.339740000000006</v>
      </c>
      <c r="Q13" s="1">
        <v>80.873000000000005</v>
      </c>
      <c r="R13" s="1"/>
    </row>
    <row r="14" spans="1:21" x14ac:dyDescent="0.45">
      <c r="A14">
        <v>294</v>
      </c>
      <c r="B14" t="s">
        <v>8</v>
      </c>
      <c r="C14">
        <v>56</v>
      </c>
      <c r="D14" t="s">
        <v>26</v>
      </c>
      <c r="E14" s="3"/>
      <c r="F14" s="3"/>
      <c r="G14" s="3"/>
      <c r="H14" s="3"/>
      <c r="I14" s="3"/>
      <c r="J14" s="3"/>
      <c r="K14" s="3"/>
      <c r="L14" s="1">
        <v>163.88462000000001</v>
      </c>
      <c r="M14">
        <v>83.555250000000001</v>
      </c>
      <c r="N14" s="1">
        <v>83</v>
      </c>
      <c r="O14" s="1">
        <v>73.173079999999999</v>
      </c>
      <c r="P14" s="1">
        <v>103.73846</v>
      </c>
      <c r="Q14" s="1">
        <v>84.461500000000001</v>
      </c>
      <c r="R14" s="1"/>
    </row>
    <row r="15" spans="1:21" x14ac:dyDescent="0.45">
      <c r="A15">
        <v>385</v>
      </c>
      <c r="B15" t="s">
        <v>9</v>
      </c>
      <c r="C15">
        <v>77.5</v>
      </c>
      <c r="D15" t="s">
        <v>27</v>
      </c>
      <c r="E15" s="3"/>
      <c r="F15" s="3"/>
      <c r="G15" s="3"/>
      <c r="H15" s="3"/>
      <c r="I15" s="3"/>
      <c r="J15" s="3"/>
      <c r="K15" s="3"/>
      <c r="L15" s="3"/>
      <c r="M15" s="5">
        <v>19.44444</v>
      </c>
      <c r="N15">
        <v>51.01923</v>
      </c>
      <c r="O15" s="1">
        <v>48.576920000000001</v>
      </c>
      <c r="P15" s="1">
        <v>92.932689999999994</v>
      </c>
      <c r="Q15" s="1">
        <v>71.961500000000001</v>
      </c>
      <c r="R15" s="1"/>
    </row>
    <row r="16" spans="1:21" x14ac:dyDescent="0.45">
      <c r="A16">
        <v>475</v>
      </c>
      <c r="B16" t="s">
        <v>10</v>
      </c>
      <c r="C16">
        <v>66.5</v>
      </c>
      <c r="D16" t="s">
        <v>28</v>
      </c>
      <c r="E16" s="3"/>
      <c r="F16" s="3"/>
      <c r="G16" s="3"/>
      <c r="H16" s="3"/>
      <c r="I16" s="3"/>
      <c r="J16" s="3"/>
      <c r="K16" s="3"/>
      <c r="L16" s="3"/>
      <c r="M16" s="3"/>
      <c r="N16" s="4">
        <v>81.907610000000005</v>
      </c>
      <c r="O16">
        <v>62.90437</v>
      </c>
      <c r="P16" s="1">
        <v>117.07117</v>
      </c>
      <c r="Q16" s="1">
        <v>84.910799999999995</v>
      </c>
      <c r="R16" s="1"/>
    </row>
    <row r="17" spans="1:18" x14ac:dyDescent="0.45">
      <c r="A17">
        <v>567</v>
      </c>
      <c r="B17" t="s">
        <v>11</v>
      </c>
      <c r="C17">
        <v>69</v>
      </c>
      <c r="D17" t="s">
        <v>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4">
        <v>43.692309999999999</v>
      </c>
      <c r="P17" s="1">
        <v>134.84614999999999</v>
      </c>
      <c r="Q17" s="1">
        <v>85.927000000000007</v>
      </c>
      <c r="R17" s="1"/>
    </row>
    <row r="18" spans="1:18" x14ac:dyDescent="0.45">
      <c r="A18">
        <v>658</v>
      </c>
      <c r="B18" t="s">
        <v>12</v>
      </c>
      <c r="C18">
        <v>75</v>
      </c>
      <c r="D18" t="s">
        <v>30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">
        <v>157.30769000000001</v>
      </c>
      <c r="Q18" s="1">
        <v>72.892300000000006</v>
      </c>
      <c r="R18" s="1"/>
    </row>
    <row r="19" spans="1:18" x14ac:dyDescent="0.45">
      <c r="A19">
        <v>749</v>
      </c>
      <c r="B19" t="s">
        <v>13</v>
      </c>
      <c r="C19">
        <v>70</v>
      </c>
      <c r="D19" t="s">
        <v>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">
        <v>111.53846</v>
      </c>
      <c r="R19" s="1"/>
    </row>
    <row r="20" spans="1:18" x14ac:dyDescent="0.45">
      <c r="A20">
        <v>840</v>
      </c>
      <c r="B20" t="s">
        <v>14</v>
      </c>
      <c r="C20">
        <v>74.5</v>
      </c>
      <c r="D20" t="s">
        <v>37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5">
      <c r="A21">
        <v>931</v>
      </c>
      <c r="B21" t="s">
        <v>38</v>
      </c>
      <c r="C21">
        <v>88</v>
      </c>
      <c r="D21" t="s">
        <v>39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45">
      <c r="A22">
        <v>1022</v>
      </c>
      <c r="B22" t="s">
        <v>40</v>
      </c>
      <c r="C22">
        <v>74</v>
      </c>
      <c r="D22" t="s">
        <v>41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45">
      <c r="A23">
        <v>1393</v>
      </c>
      <c r="B23" t="s">
        <v>42</v>
      </c>
      <c r="C23">
        <v>80</v>
      </c>
      <c r="D23" t="s">
        <v>43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45">
      <c r="A24" s="6">
        <v>1757</v>
      </c>
      <c r="B24" s="6" t="s">
        <v>44</v>
      </c>
      <c r="C24" s="6">
        <v>88</v>
      </c>
      <c r="D24" s="6" t="s">
        <v>45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45">
      <c r="A25">
        <v>2121</v>
      </c>
      <c r="B25" t="s">
        <v>46</v>
      </c>
      <c r="C25">
        <v>94.5</v>
      </c>
      <c r="D25" t="s">
        <v>47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45">
      <c r="A26">
        <v>2485</v>
      </c>
      <c r="B26" t="s">
        <v>48</v>
      </c>
      <c r="C26">
        <v>103.5</v>
      </c>
      <c r="D26" t="s">
        <v>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45">
      <c r="A27">
        <v>2849</v>
      </c>
      <c r="B27" t="s">
        <v>50</v>
      </c>
      <c r="C27">
        <v>115</v>
      </c>
      <c r="D27" t="s">
        <v>51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45">
      <c r="A28">
        <v>3213</v>
      </c>
      <c r="B28" t="s">
        <v>52</v>
      </c>
      <c r="C28">
        <v>120</v>
      </c>
      <c r="D28" t="s">
        <v>53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45">
      <c r="A29">
        <v>3584</v>
      </c>
      <c r="B29" t="s">
        <v>54</v>
      </c>
      <c r="C29">
        <v>122</v>
      </c>
      <c r="D29" t="s">
        <v>55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4" spans="3:15" x14ac:dyDescent="0.45">
      <c r="C34" t="s">
        <v>56</v>
      </c>
    </row>
    <row r="35" spans="3:15" x14ac:dyDescent="0.45">
      <c r="O35" s="4" t="s">
        <v>57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 Spreads (2)</vt:lpstr>
      <vt:lpstr>Mid Spreads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Chow</cp:lastModifiedBy>
  <dcterms:created xsi:type="dcterms:W3CDTF">2026-02-27T20:26:16Z</dcterms:created>
  <dcterms:modified xsi:type="dcterms:W3CDTF">2026-02-28T03:04:10Z</dcterms:modified>
</cp:coreProperties>
</file>