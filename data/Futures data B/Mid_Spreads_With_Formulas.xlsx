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2" documentId="11_992B8C92D265A0BF6F0B74564F5DCE3AA7CAAA03" xr6:coauthVersionLast="47" xr6:coauthVersionMax="47" xr10:uidLastSave="{B63B2FF7-6F0B-427E-9453-1E22B0352764}"/>
  <bookViews>
    <workbookView xWindow="16875" yWindow="-16320" windowWidth="29040" windowHeight="15840" xr2:uid="{00000000-000D-0000-FFFF-FFFF00000000}"/>
  </bookViews>
  <sheets>
    <sheet name="Mid Spr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16" i="1"/>
  <c r="O16" i="1"/>
  <c r="P15" i="1"/>
  <c r="O15" i="1"/>
  <c r="N15" i="1"/>
  <c r="P14" i="1"/>
  <c r="O14" i="1"/>
  <c r="N14" i="1"/>
  <c r="M14" i="1"/>
  <c r="P13" i="1"/>
  <c r="O13" i="1"/>
  <c r="N13" i="1"/>
  <c r="M13" i="1"/>
  <c r="L13" i="1"/>
  <c r="P12" i="1"/>
  <c r="O12" i="1"/>
  <c r="N12" i="1"/>
  <c r="M12" i="1"/>
  <c r="L12" i="1"/>
  <c r="K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I10" i="1"/>
  <c r="P9" i="1"/>
  <c r="O9" i="1"/>
  <c r="N9" i="1"/>
  <c r="M9" i="1"/>
  <c r="L9" i="1"/>
  <c r="K9" i="1"/>
  <c r="J9" i="1"/>
  <c r="I9" i="1"/>
  <c r="H9" i="1"/>
  <c r="P6" i="1"/>
  <c r="O6" i="1"/>
  <c r="N6" i="1"/>
  <c r="M6" i="1"/>
  <c r="L6" i="1"/>
  <c r="K6" i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<sst xmlns="http://schemas.openxmlformats.org/spreadsheetml/2006/main" count="44" uniqueCount="30">
  <si>
    <t>End</t>
  </si>
  <si>
    <t>AXWF6</t>
  </si>
  <si>
    <t>AXWG6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</si>
  <si>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</si>
  <si>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</si>
  <si>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</si>
  <si>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</si>
  <si>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</si>
  <si>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</si>
  <si>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</si>
  <si>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</si>
  <si>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</si>
  <si>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</si>
  <si>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VALUEERROR</t>
  </si>
  <si>
    <t>Start</t>
  </si>
  <si>
    <t>last_price</t>
  </si>
  <si>
    <t>FUT_DLV_DT_FIRST</t>
  </si>
  <si>
    <t>AXWZ5</t>
  </si>
  <si>
    <t>AXWH8</t>
  </si>
  <si>
    <t>AXWM8</t>
  </si>
  <si>
    <t>AXWU8</t>
  </si>
  <si>
    <t>AXWZ8</t>
  </si>
  <si>
    <t>AXWH9</t>
  </si>
  <si>
    <t>AXWZ0</t>
  </si>
  <si>
    <t>AXWZ31</t>
  </si>
  <si>
    <t>AXWZ32</t>
  </si>
  <si>
    <t>AXWZ33</t>
  </si>
  <si>
    <t>AXWZ34</t>
  </si>
  <si>
    <t>AXWZ35</t>
  </si>
  <si>
    <t>Steepness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</si>
</sst>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A500"/>
        <bgColor rgb="FFFFA500"/>
      </patternFill>
    </fill>
    <fill>
      <patternFill patternType="solid">
        <fgColor rgb="FFFFCC80"/>
        <bgColor rgb="FFFFCC8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166" fontId="0" fillId="4" borderId="0" xfId="0" applyNumberFormat="1" applyFill="1"/>
    <xf numFmtId="0" fontId="0" fillId="5" borderId="0" xfId="0" applyFill="1"/>
    <xf numFmtId="0" fontId="0" fillId="4" borderId="0" xfId="0" applyFill="1"/>
    <xf numFmtId="0" fontId="0" fillId="2" borderId="0" xfId="0" applyFill="1"/>
    <xf numFmtId="165" fontId="0" fillId="2" borderId="0" xfId="0" applyNumberFormat="1" applyFill="1"/>
    <xf numFmtId="10" fontId="0" fillId="4" borderId="0" xfId="0" applyNumberForma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5"/>
  <sheetViews>
    <sheetView tabSelected="1" workbookViewId="0">
      <selection activeCell="I29" sqref="I29"/>
    </sheetView>
  </sheetViews>
  <sheetFormatPr defaultRowHeight="14.25" x14ac:dyDescent="0.45"/>
  <cols>
    <col min="1" max="1" width="8" customWidth="1"/>
    <col min="2" max="2" width="10" customWidth="1"/>
    <col min="3" max="3" width="12" customWidth="1"/>
    <col min="4" max="4" width="14" customWidth="1"/>
    <col min="5" max="16" width="12" customWidth="1"/>
  </cols>
  <sheetData>
    <row r="2" spans="1:16" x14ac:dyDescent="0.45">
      <c r="E2">
        <v>-42</v>
      </c>
      <c r="F2">
        <v>-7</v>
      </c>
      <c r="G2">
        <v>21</v>
      </c>
      <c r="H2">
        <v>49</v>
      </c>
      <c r="I2">
        <v>77</v>
      </c>
      <c r="J2">
        <v>111</v>
      </c>
      <c r="K2">
        <v>203</v>
      </c>
      <c r="L2">
        <v>294</v>
      </c>
      <c r="M2">
        <v>385</v>
      </c>
      <c r="N2">
        <v>475</v>
      </c>
      <c r="O2">
        <v>567</v>
      </c>
      <c r="P2">
        <v>658</v>
      </c>
    </row>
    <row r="3" spans="1:16" x14ac:dyDescent="0.4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</row>
    <row r="4" spans="1:16" x14ac:dyDescent="0.45">
      <c r="E4" s="10">
        <v>116</v>
      </c>
      <c r="F4" s="10" t="s">
        <v>13</v>
      </c>
      <c r="G4" s="10">
        <v>44.5</v>
      </c>
      <c r="H4" s="10">
        <v>48</v>
      </c>
      <c r="I4" s="10">
        <v>110</v>
      </c>
      <c r="J4" s="10">
        <v>99</v>
      </c>
      <c r="K4" s="10">
        <v>77</v>
      </c>
      <c r="L4" s="10">
        <v>55.5</v>
      </c>
      <c r="M4" s="10">
        <v>81.5</v>
      </c>
      <c r="N4" s="10">
        <v>66.5</v>
      </c>
      <c r="O4" s="10">
        <v>69</v>
      </c>
      <c r="P4" s="10">
        <v>75</v>
      </c>
    </row>
    <row r="5" spans="1:16" x14ac:dyDescent="0.45">
      <c r="A5" t="s">
        <v>14</v>
      </c>
      <c r="C5" t="s">
        <v>15</v>
      </c>
      <c r="D5" t="s">
        <v>16</v>
      </c>
      <c r="E5" s="1">
        <v>46038</v>
      </c>
      <c r="F5" s="1">
        <v>46073</v>
      </c>
      <c r="G5" s="1">
        <v>46101</v>
      </c>
      <c r="H5" s="1">
        <v>46129</v>
      </c>
      <c r="I5" s="1">
        <v>46157</v>
      </c>
      <c r="J5" s="1">
        <v>46191</v>
      </c>
      <c r="K5" s="1">
        <v>46283</v>
      </c>
      <c r="L5" s="1">
        <v>46374</v>
      </c>
      <c r="M5" s="1">
        <v>46465</v>
      </c>
      <c r="N5" s="1">
        <v>46555</v>
      </c>
      <c r="O5" s="1">
        <v>46647</v>
      </c>
      <c r="P5" s="1">
        <v>46738</v>
      </c>
    </row>
    <row r="6" spans="1:16" x14ac:dyDescent="0.45">
      <c r="A6">
        <v>-70</v>
      </c>
      <c r="B6" t="s">
        <v>17</v>
      </c>
      <c r="C6" s="10">
        <v>65</v>
      </c>
      <c r="D6" s="1">
        <v>46010</v>
      </c>
      <c r="E6" s="2">
        <f t="shared" ref="E6:P6" ca="1" si="0">(E4-($C$6*(($D$6-(TODAY()))/(E$5-(TODAY())))))/((E$2-$A$6)/E$2)</f>
        <v>-13.011627906976749</v>
      </c>
      <c r="F6" s="2" t="e">
        <f t="shared" ca="1" si="0"/>
        <v>#VALUE!</v>
      </c>
      <c r="G6" s="2">
        <f t="shared" ca="1" si="0"/>
        <v>63.519230769230774</v>
      </c>
      <c r="H6" s="2">
        <f t="shared" ca="1" si="0"/>
        <v>59.354166666666679</v>
      </c>
      <c r="I6" s="2">
        <f t="shared" ca="1" si="0"/>
        <v>89.426691729323295</v>
      </c>
      <c r="J6" s="2">
        <f t="shared" ca="1" si="0"/>
        <v>86.441737820190866</v>
      </c>
      <c r="K6" s="2">
        <f t="shared" ca="1" si="0"/>
        <v>74.244859101294736</v>
      </c>
      <c r="L6" s="2">
        <f t="shared" ca="1" si="0"/>
        <v>57.548766080336044</v>
      </c>
      <c r="M6" s="2">
        <f t="shared" ca="1" si="0"/>
        <v>79.130809294871796</v>
      </c>
      <c r="N6" s="2">
        <f t="shared" ca="1" si="0"/>
        <v>66.444470251229049</v>
      </c>
      <c r="O6" s="2">
        <f t="shared" ca="1" si="0"/>
        <v>68.675280549838845</v>
      </c>
      <c r="P6" s="2">
        <f t="shared" ca="1" si="0"/>
        <v>74.137396089450888</v>
      </c>
    </row>
    <row r="7" spans="1:16" x14ac:dyDescent="0.45">
      <c r="A7">
        <v>-42</v>
      </c>
      <c r="B7" t="s">
        <v>1</v>
      </c>
      <c r="C7" s="10" t="s">
        <v>13</v>
      </c>
      <c r="D7" s="1">
        <v>46038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5">
      <c r="A8">
        <v>-7</v>
      </c>
      <c r="B8" t="s">
        <v>2</v>
      </c>
      <c r="C8" s="10" t="s">
        <v>13</v>
      </c>
      <c r="D8" s="1">
        <v>46073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5">
      <c r="A9">
        <v>21</v>
      </c>
      <c r="B9" t="s">
        <v>3</v>
      </c>
      <c r="C9" s="10">
        <v>44.5</v>
      </c>
      <c r="D9" s="1">
        <v>46101</v>
      </c>
      <c r="E9" s="3"/>
      <c r="F9" s="3"/>
      <c r="G9" s="3"/>
      <c r="H9" s="2">
        <f t="shared" ref="H9:P9" ca="1" si="1">(H4-($C$9*(($D$9-(TODAY()))/(H$5-(TODAY())))))/((H$2-$A$9)/H$2)</f>
        <v>51.552083333333336</v>
      </c>
      <c r="I9" s="4">
        <f t="shared" ca="1" si="1"/>
        <v>135.14802631578945</v>
      </c>
      <c r="J9" s="2">
        <f t="shared" ca="1" si="1"/>
        <v>112.12121212121211</v>
      </c>
      <c r="K9" s="2">
        <f t="shared" ca="1" si="1"/>
        <v>80.970297029702976</v>
      </c>
      <c r="L9" s="2">
        <f t="shared" ca="1" si="1"/>
        <v>56.498030979259646</v>
      </c>
      <c r="M9" s="2">
        <f t="shared" ca="1" si="1"/>
        <v>83.750500801282058</v>
      </c>
      <c r="N9" s="2">
        <f t="shared" ca="1" si="1"/>
        <v>67.611503001914528</v>
      </c>
      <c r="O9" s="2">
        <f t="shared" ca="1" si="1"/>
        <v>70.020929600434897</v>
      </c>
      <c r="P9" s="2">
        <f t="shared" ca="1" si="1"/>
        <v>76.073226621171827</v>
      </c>
    </row>
    <row r="10" spans="1:16" x14ac:dyDescent="0.45">
      <c r="A10">
        <v>49</v>
      </c>
      <c r="B10" t="s">
        <v>4</v>
      </c>
      <c r="C10" s="10">
        <v>72</v>
      </c>
      <c r="D10" s="1">
        <v>46129</v>
      </c>
      <c r="E10" s="3"/>
      <c r="F10" s="3"/>
      <c r="G10" s="3"/>
      <c r="H10" s="3"/>
      <c r="I10" s="2">
        <f t="shared" ref="I10:P10" ca="1" si="2">(I4-($C$10*(($D$10-(TODAY()))/(I$5-(TODAY())))))/((I$2-$A$10)/I$2)</f>
        <v>177.44736842105263</v>
      </c>
      <c r="J10" s="2">
        <f t="shared" ca="1" si="2"/>
        <v>120.99325513196482</v>
      </c>
      <c r="K10" s="2">
        <f t="shared" ca="1" si="2"/>
        <v>78.947344734473447</v>
      </c>
      <c r="L10" s="2">
        <f t="shared" ca="1" si="2"/>
        <v>52.445733788395906</v>
      </c>
      <c r="M10" s="2">
        <f t="shared" ca="1" si="2"/>
        <v>83.072916666666671</v>
      </c>
      <c r="N10" s="2">
        <f t="shared" ca="1" si="2"/>
        <v>66.019269626195992</v>
      </c>
      <c r="O10" s="2">
        <f t="shared" ca="1" si="2"/>
        <v>68.843424696781597</v>
      </c>
      <c r="P10" s="2">
        <f t="shared" ca="1" si="2"/>
        <v>75.350968351440727</v>
      </c>
    </row>
    <row r="11" spans="1:16" x14ac:dyDescent="0.45">
      <c r="A11">
        <v>77</v>
      </c>
      <c r="B11" t="s">
        <v>5</v>
      </c>
      <c r="C11" s="10">
        <v>95</v>
      </c>
      <c r="D11" s="1">
        <v>46157</v>
      </c>
      <c r="E11" s="3"/>
      <c r="F11" s="3"/>
      <c r="G11" s="3"/>
      <c r="H11" s="3"/>
      <c r="I11" s="3"/>
      <c r="J11" s="2">
        <f t="shared" ref="J11:P11" ca="1" si="3">(J4-($C$11*(($D$11-(TODAY()))/(J$5-(TODAY())))))/((J$2-$A$11)/J$2)</f>
        <v>108.92245989304813</v>
      </c>
      <c r="K11" s="2">
        <f t="shared" ca="1" si="3"/>
        <v>66.470297029702962</v>
      </c>
      <c r="L11" s="2">
        <f t="shared" ca="1" si="3"/>
        <v>41.808103049653198</v>
      </c>
      <c r="M11" s="2">
        <f t="shared" ca="1" si="3"/>
        <v>78.372395833333329</v>
      </c>
      <c r="N11" s="2">
        <f t="shared" ca="1" si="3"/>
        <v>61.186602845450885</v>
      </c>
      <c r="O11" s="2">
        <f t="shared" ca="1" si="3"/>
        <v>65.082130237253907</v>
      </c>
      <c r="P11" s="2">
        <f t="shared" ca="1" si="3"/>
        <v>72.493994241807414</v>
      </c>
    </row>
    <row r="12" spans="1:16" x14ac:dyDescent="0.45">
      <c r="A12">
        <v>111</v>
      </c>
      <c r="B12" t="s">
        <v>6</v>
      </c>
      <c r="C12" s="10">
        <v>51.5</v>
      </c>
      <c r="D12" s="1">
        <v>46191</v>
      </c>
      <c r="E12" s="3"/>
      <c r="F12" s="3"/>
      <c r="G12" s="3"/>
      <c r="H12" s="3"/>
      <c r="I12" s="3"/>
      <c r="J12" s="3"/>
      <c r="K12" s="2">
        <f t="shared" ref="K12:P12" ca="1" si="4">(K4-($C$12*(($D$12-(TODAY()))/(K$5-(TODAY())))))/((K$2-$A$12)/K$2)</f>
        <v>108.02125484287558</v>
      </c>
      <c r="L12" s="2">
        <f t="shared" ca="1" si="4"/>
        <v>58.101997426285465</v>
      </c>
      <c r="M12" s="2">
        <f t="shared" ca="1" si="4"/>
        <v>93.787399254866173</v>
      </c>
      <c r="N12" s="2">
        <f t="shared" ca="1" si="4"/>
        <v>71.182825613205367</v>
      </c>
      <c r="O12" s="2">
        <f t="shared" ca="1" si="4"/>
        <v>73.350857820345922</v>
      </c>
      <c r="P12" s="2">
        <f t="shared" ca="1" si="4"/>
        <v>79.84712517982409</v>
      </c>
    </row>
    <row r="13" spans="1:16" x14ac:dyDescent="0.45">
      <c r="A13">
        <v>203</v>
      </c>
      <c r="B13" t="s">
        <v>7</v>
      </c>
      <c r="C13" s="10">
        <v>54.5</v>
      </c>
      <c r="D13" s="1">
        <v>46283</v>
      </c>
      <c r="E13" s="3"/>
      <c r="F13" s="3"/>
      <c r="G13" s="3"/>
      <c r="H13" s="3"/>
      <c r="I13" s="3"/>
      <c r="J13" s="3"/>
      <c r="K13" s="3"/>
      <c r="L13" s="2">
        <f ca="1">(L4-($C$13*(($D$13-(TODAY()))/(L$5-(TODAY())))))/((L$2-$A$13)/L$2)</f>
        <v>57.916776056707782</v>
      </c>
      <c r="M13" s="2">
        <f ca="1">(M4-($C$13*(($D$13-(TODAY()))/(M$5-(TODAY())))))/((M$2-$A$13)/M$2)</f>
        <v>111.75731169871796</v>
      </c>
      <c r="N13" s="2">
        <f ca="1">(N4-($C$13*(($D$13-(TODAY()))/(N$5-(TODAY())))))/((N$2-$A$13)/N$2)</f>
        <v>75.570861255894769</v>
      </c>
      <c r="O13" s="2">
        <f ca="1">(O4-($C$13*(($D$13-(TODAY()))/(O$5-(TODAY())))))/((O$2-$A$13)/O$2)</f>
        <v>77.182828214188646</v>
      </c>
      <c r="P13" s="2">
        <f ca="1">(P4-($C$13*(($D$13-(TODAY()))/(P$5-(TODAY())))))/((P$2-$A$13)/P$2)</f>
        <v>84.229106661983366</v>
      </c>
    </row>
    <row r="14" spans="1:16" x14ac:dyDescent="0.45">
      <c r="A14">
        <v>294</v>
      </c>
      <c r="B14" t="s">
        <v>8</v>
      </c>
      <c r="C14" s="10">
        <v>56</v>
      </c>
      <c r="D14" s="1">
        <v>46374</v>
      </c>
      <c r="E14" s="3"/>
      <c r="F14" s="3"/>
      <c r="G14" s="3"/>
      <c r="H14" s="3"/>
      <c r="I14" s="3"/>
      <c r="J14" s="3"/>
      <c r="K14" s="3"/>
      <c r="L14" s="3"/>
      <c r="M14" s="2">
        <f ca="1">(M4-($C$14*(($D$14-(TODAY()))/(M$5-(TODAY())))))/((M$2-$A$14)/M$2)</f>
        <v>164.0304487179487</v>
      </c>
      <c r="N14" s="2">
        <f ca="1">(N4-($C$14*(($D$14-(TODAY()))/(N$5-(TODAY())))))/((N$2-$A$14)/N$2)</f>
        <v>83.673392078700147</v>
      </c>
      <c r="O14" s="2">
        <f ca="1">(O4-($C$14*(($D$14-(TODAY()))/(O$5-(TODAY())))))/((O$2-$A$14)/O$2)</f>
        <v>83.098939929328623</v>
      </c>
      <c r="P14" s="2">
        <f ca="1">(P4-($C$14*(($D$14-(TODAY()))/(P$5-(TODAY())))))/((P$2-$A$14)/P$2)</f>
        <v>90.431389767006209</v>
      </c>
    </row>
    <row r="15" spans="1:16" x14ac:dyDescent="0.45">
      <c r="A15">
        <v>385</v>
      </c>
      <c r="B15" t="s">
        <v>9</v>
      </c>
      <c r="C15" s="10">
        <v>77.5</v>
      </c>
      <c r="D15" s="1">
        <v>46465</v>
      </c>
      <c r="E15" s="3"/>
      <c r="F15" s="3"/>
      <c r="G15" s="3"/>
      <c r="H15" s="3"/>
      <c r="I15" s="3"/>
      <c r="J15" s="3"/>
      <c r="K15" s="3"/>
      <c r="L15" s="3"/>
      <c r="M15" s="5"/>
      <c r="N15" s="2">
        <f ca="1">(N4-($C$15*(($D$15-(TODAY()))/(N$5-(TODAY())))))/((N$2-$A$15)/N$2)</f>
        <v>19.60794655414908</v>
      </c>
      <c r="O15" s="2">
        <f ca="1">(O4-($C$15*(($D$15-(TODAY()))/(O$5-(TODAY())))))/((O$2-$A$15)/O$2)</f>
        <v>51.156156564283762</v>
      </c>
      <c r="P15" s="2">
        <f ca="1">(P4-($C$15*(($D$15-(TODAY()))/(P$5-(TODAY())))))/((P$2-$A$15)/P$2)</f>
        <v>71.592319400538585</v>
      </c>
    </row>
    <row r="16" spans="1:16" x14ac:dyDescent="0.45">
      <c r="A16">
        <v>475</v>
      </c>
      <c r="B16" t="s">
        <v>10</v>
      </c>
      <c r="C16" s="10">
        <v>66.5</v>
      </c>
      <c r="D16" s="1">
        <v>46555</v>
      </c>
      <c r="E16" s="3"/>
      <c r="F16" s="3"/>
      <c r="G16" s="3"/>
      <c r="H16" s="3"/>
      <c r="I16" s="3"/>
      <c r="J16" s="3"/>
      <c r="K16" s="3"/>
      <c r="L16" s="3"/>
      <c r="M16" s="3"/>
      <c r="N16" s="6"/>
      <c r="O16" s="2">
        <f ca="1">(O4-($C$16*(($D$16-(TODAY()))/(O$5-(TODAY())))))/((O$2-$A$16)/O$2)</f>
        <v>82.025099861729956</v>
      </c>
      <c r="P16" s="2">
        <f ca="1">(P4-($C$16*(($D$16-(TODAY()))/(P$5-(TODAY())))))/((P$2-$A$16)/P$2)</f>
        <v>97.164059186066822</v>
      </c>
    </row>
    <row r="17" spans="1:16" x14ac:dyDescent="0.45">
      <c r="A17">
        <v>567</v>
      </c>
      <c r="B17" t="s">
        <v>11</v>
      </c>
      <c r="C17" s="10">
        <v>69</v>
      </c>
      <c r="D17" s="1">
        <v>46647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P17" s="2">
        <f ca="1">(P4-($C$17*(($D$17-(TODAY()))/(P$5-(TODAY())))))/((P$2-$A$17)/P$2)</f>
        <v>112.48963821566561</v>
      </c>
    </row>
    <row r="18" spans="1:16" x14ac:dyDescent="0.45">
      <c r="A18">
        <v>658</v>
      </c>
      <c r="B18" t="s">
        <v>12</v>
      </c>
      <c r="C18" s="10">
        <v>75</v>
      </c>
      <c r="D18" s="1">
        <v>46738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5">
      <c r="A19">
        <v>749</v>
      </c>
      <c r="B19" t="s">
        <v>18</v>
      </c>
      <c r="C19" s="10">
        <v>70</v>
      </c>
      <c r="D19" s="1">
        <v>46829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45">
      <c r="A20">
        <v>840</v>
      </c>
      <c r="B20" t="s">
        <v>19</v>
      </c>
      <c r="C20" s="10">
        <v>74.5</v>
      </c>
      <c r="D20" s="1">
        <v>46920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45">
      <c r="A21">
        <v>931</v>
      </c>
      <c r="B21" t="s">
        <v>20</v>
      </c>
      <c r="C21" s="10">
        <v>88</v>
      </c>
      <c r="D21" s="1">
        <v>47011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45">
      <c r="A22">
        <v>1022</v>
      </c>
      <c r="B22" t="s">
        <v>21</v>
      </c>
      <c r="C22" s="10">
        <v>74</v>
      </c>
      <c r="D22" s="1">
        <v>47102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45">
      <c r="A23">
        <v>1393</v>
      </c>
      <c r="B23" t="s">
        <v>22</v>
      </c>
      <c r="C23" s="10">
        <v>80</v>
      </c>
      <c r="D23" s="1">
        <v>47473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45">
      <c r="A24" s="7">
        <v>1757</v>
      </c>
      <c r="B24" s="7" t="s">
        <v>23</v>
      </c>
      <c r="C24" s="11">
        <v>88</v>
      </c>
      <c r="D24" s="8">
        <v>47837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45">
      <c r="A25">
        <v>2121</v>
      </c>
      <c r="B25" t="s">
        <v>24</v>
      </c>
      <c r="C25" s="10">
        <v>94.5</v>
      </c>
      <c r="D25" s="1">
        <v>48201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45">
      <c r="A26">
        <v>2485</v>
      </c>
      <c r="B26" t="s">
        <v>25</v>
      </c>
      <c r="C26" s="10">
        <v>103.5</v>
      </c>
      <c r="D26" s="1">
        <v>48565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45">
      <c r="A27">
        <v>2849</v>
      </c>
      <c r="B27" t="s">
        <v>26</v>
      </c>
      <c r="C27" s="10">
        <v>115</v>
      </c>
      <c r="D27" s="1">
        <v>48929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45">
      <c r="A28">
        <v>3213</v>
      </c>
      <c r="B28" t="s">
        <v>27</v>
      </c>
      <c r="C28" s="10">
        <v>120</v>
      </c>
      <c r="D28" s="1">
        <v>49293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45">
      <c r="A29">
        <v>3584</v>
      </c>
      <c r="B29" t="s">
        <v>28</v>
      </c>
      <c r="C29" s="10">
        <v>122</v>
      </c>
      <c r="D29" s="1">
        <v>49664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4" spans="3:15" x14ac:dyDescent="0.45">
      <c r="C34" t="s">
        <v>29</v>
      </c>
    </row>
    <row r="35" spans="3:15" x14ac:dyDescent="0.45">
      <c r="O35" s="9">
        <v>-0.13400000000000001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Chow</cp:lastModifiedBy>
  <dcterms:created xsi:type="dcterms:W3CDTF">2026-02-28T03:10:39Z</dcterms:created>
  <dcterms:modified xsi:type="dcterms:W3CDTF">2026-02-28T20:17:09Z</dcterms:modified>
</cp:coreProperties>
</file>