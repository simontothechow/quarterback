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fdae8be99c1de88c/Desktop/Quarterback_v1/data/Futures data B/"/>
    </mc:Choice>
  </mc:AlternateContent>
  <xr:revisionPtr revIDLastSave="44" documentId="8_{7CB1A42B-C0F1-44CC-B989-E36B3D80D5CD}" xr6:coauthVersionLast="47" xr6:coauthVersionMax="47" xr10:uidLastSave="{093317A8-3E19-45DF-A366-6CA895CB1492}"/>
  <bookViews>
    <workbookView xWindow="-98" yWindow="-98" windowWidth="23236" windowHeight="13996" activeTab="1" xr2:uid="{00000000-000D-0000-FFFF-FFFF00000000}"/>
  </bookViews>
  <sheets>
    <sheet name="Mid Spreads" sheetId="1" r:id="rId1"/>
    <sheet name="Mid spreads with same prices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2" l="1"/>
  <c r="T16" i="1"/>
  <c r="T15" i="1"/>
  <c r="T6" i="1"/>
  <c r="T5" i="1"/>
  <c r="T4" i="1"/>
  <c r="F6" i="1"/>
  <c r="T11" i="1"/>
  <c r="T9" i="1"/>
  <c r="N14" i="2"/>
  <c r="N13" i="2"/>
  <c r="M13" i="2"/>
  <c r="N12" i="2"/>
  <c r="M12" i="2"/>
  <c r="L12" i="2"/>
  <c r="N11" i="2"/>
  <c r="M11" i="2"/>
  <c r="L11" i="2"/>
  <c r="K11" i="2"/>
  <c r="N10" i="2"/>
  <c r="M10" i="2"/>
  <c r="L10" i="2"/>
  <c r="K10" i="2"/>
  <c r="J10" i="2"/>
  <c r="N9" i="2"/>
  <c r="M9" i="2"/>
  <c r="L9" i="2"/>
  <c r="K9" i="2"/>
  <c r="J9" i="2"/>
  <c r="I9" i="2"/>
  <c r="N8" i="2"/>
  <c r="M8" i="2"/>
  <c r="L8" i="2"/>
  <c r="K8" i="2"/>
  <c r="J8" i="2"/>
  <c r="I8" i="2"/>
  <c r="H8" i="2"/>
  <c r="N7" i="2"/>
  <c r="M7" i="2"/>
  <c r="L7" i="2"/>
  <c r="K7" i="2"/>
  <c r="J7" i="2"/>
  <c r="I7" i="2"/>
  <c r="H7" i="2"/>
  <c r="G7" i="2"/>
  <c r="N6" i="2"/>
  <c r="M6" i="2"/>
  <c r="L6" i="2"/>
  <c r="K6" i="2"/>
  <c r="J6" i="2"/>
  <c r="I6" i="2"/>
  <c r="H6" i="2"/>
  <c r="G6" i="2"/>
  <c r="F6" i="2"/>
  <c r="H6" i="1"/>
  <c r="N14" i="1"/>
  <c r="N13" i="1"/>
  <c r="M13" i="1"/>
  <c r="N12" i="1"/>
  <c r="M12" i="1"/>
  <c r="L12" i="1"/>
  <c r="N11" i="1"/>
  <c r="M11" i="1"/>
  <c r="L11" i="1"/>
  <c r="K11" i="1"/>
  <c r="N10" i="1"/>
  <c r="M10" i="1"/>
  <c r="L10" i="1"/>
  <c r="K10" i="1"/>
  <c r="J10" i="1"/>
  <c r="N9" i="1"/>
  <c r="M9" i="1"/>
  <c r="L9" i="1"/>
  <c r="K9" i="1"/>
  <c r="J9" i="1"/>
  <c r="I9" i="1"/>
  <c r="N8" i="1"/>
  <c r="M8" i="1"/>
  <c r="L8" i="1"/>
  <c r="K8" i="1"/>
  <c r="J8" i="1"/>
  <c r="I8" i="1"/>
  <c r="H8" i="1"/>
  <c r="N7" i="1"/>
  <c r="M7" i="1"/>
  <c r="L7" i="1"/>
  <c r="K7" i="1"/>
  <c r="J7" i="1"/>
  <c r="I7" i="1"/>
  <c r="H7" i="1"/>
  <c r="G7" i="1"/>
  <c r="N6" i="1"/>
  <c r="M6" i="1"/>
  <c r="L6" i="1"/>
  <c r="K6" i="1"/>
  <c r="J6" i="1"/>
  <c r="I6" i="1"/>
  <c r="G6" i="1"/>
</calcChain>
</file>

<file path=xl/sharedStrings.xml><?xml version="1.0" encoding="utf-8"?>
<sst xmlns="http://schemas.openxmlformats.org/spreadsheetml/2006/main" count="97" uniqueCount="29">
  <si>
    <t>End</t>
  </si>
  <si>
    <t>AXWH6</t>
  </si>
  <si>
    <t>AXWJ6</t>
  </si>
  <si>
    <t>AXWK6</t>
  </si>
  <si>
    <t>AXWM6</t>
  </si>
  <si>
    <t>AXWU6</t>
  </si>
  <si>
    <t>AXWZ6</t>
  </si>
  <si>
    <t>AXWH7</t>
  </si>
  <si>
    <t>AXWM7</t>
  </si>
  <si>
    <t>AXWU7</t>
  </si>
  <si>
    <t>AXWZ7</t>
  </si>
  <si>
    <t>Start</t>
  </si>
  <si>
    <t>last_price</t>
  </si>
  <si>
    <t>FUT_DLV_DT_FIRST</t>
  </si>
  <si>
    <t>AXWH8</t>
  </si>
  <si>
    <t>AXWM8</t>
  </si>
  <si>
    <t>AXWU8</t>
  </si>
  <si>
    <t>AXWZ8</t>
  </si>
  <si>
    <t>AXWH9</t>
  </si>
  <si>
    <t>AXWZ0</t>
  </si>
  <si>
    <t>AXWZ31</t>
  </si>
  <si>
    <t>AXWZ32</t>
  </si>
  <si>
    <t>AXWZ33</t>
  </si>
  <si>
    <t>AXWZ34</t>
  </si>
  <si>
    <t>AXWZ35</t>
  </si>
  <si>
    <t>Steepness</t>
  </si>
  <si>
    <t>Contract_Code</t>
  </si>
  <si>
    <t>Days_to_maturity</t>
  </si>
  <si>
    <t>Maturity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</si>
</sst>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0.00000"/>
    <numFmt numFmtId="167" formatCode="0.0000"/>
    <numFmt numFmtId="169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A500"/>
        <bgColor rgb="FFFFA500"/>
      </patternFill>
    </fill>
    <fill>
      <patternFill patternType="solid">
        <fgColor rgb="FFFFCC80"/>
        <bgColor rgb="FFFFCC80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3" borderId="0" xfId="0" applyFill="1"/>
    <xf numFmtId="165" fontId="0" fillId="4" borderId="0" xfId="0" applyNumberFormat="1" applyFill="1"/>
    <xf numFmtId="0" fontId="0" fillId="5" borderId="0" xfId="0" applyFill="1"/>
    <xf numFmtId="0" fontId="0" fillId="4" borderId="0" xfId="0" applyFill="1"/>
    <xf numFmtId="0" fontId="0" fillId="2" borderId="0" xfId="0" applyFill="1"/>
    <xf numFmtId="164" fontId="0" fillId="2" borderId="0" xfId="0" applyNumberFormat="1" applyFill="1"/>
    <xf numFmtId="10" fontId="0" fillId="4" borderId="0" xfId="0" applyNumberFormat="1" applyFill="1"/>
    <xf numFmtId="165" fontId="0" fillId="6" borderId="0" xfId="0" applyNumberFormat="1" applyFill="1"/>
    <xf numFmtId="167" fontId="0" fillId="0" borderId="0" xfId="0" applyNumberFormat="1"/>
    <xf numFmtId="169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2"/>
  <sheetViews>
    <sheetView workbookViewId="0">
      <selection activeCell="T16" sqref="T16"/>
    </sheetView>
  </sheetViews>
  <sheetFormatPr defaultRowHeight="14.25" x14ac:dyDescent="0.45"/>
  <cols>
    <col min="1" max="1" width="8" customWidth="1"/>
    <col min="2" max="2" width="10" customWidth="1"/>
    <col min="3" max="3" width="12" customWidth="1"/>
    <col min="4" max="4" width="14" customWidth="1"/>
    <col min="5" max="14" width="12" customWidth="1"/>
  </cols>
  <sheetData>
    <row r="2" spans="1:20" x14ac:dyDescent="0.45">
      <c r="E2">
        <v>21</v>
      </c>
      <c r="F2">
        <v>48</v>
      </c>
      <c r="G2">
        <v>77</v>
      </c>
      <c r="H2">
        <v>111</v>
      </c>
      <c r="I2">
        <v>203</v>
      </c>
      <c r="J2">
        <v>294</v>
      </c>
      <c r="K2">
        <v>385</v>
      </c>
      <c r="L2">
        <v>475</v>
      </c>
      <c r="M2">
        <v>567</v>
      </c>
      <c r="N2">
        <v>658</v>
      </c>
    </row>
    <row r="3" spans="1:20" x14ac:dyDescent="0.45">
      <c r="D3" t="s">
        <v>0</v>
      </c>
      <c r="E3" t="s">
        <v>1</v>
      </c>
      <c r="F3" t="s">
        <v>2</v>
      </c>
      <c r="G3" t="s">
        <v>3</v>
      </c>
      <c r="H3" t="s">
        <v>4</v>
      </c>
      <c r="I3" t="s">
        <v>5</v>
      </c>
      <c r="J3" t="s">
        <v>6</v>
      </c>
      <c r="K3" t="s">
        <v>7</v>
      </c>
      <c r="L3" t="s">
        <v>8</v>
      </c>
      <c r="M3" t="s">
        <v>9</v>
      </c>
      <c r="N3" t="s">
        <v>10</v>
      </c>
    </row>
    <row r="4" spans="1:20" x14ac:dyDescent="0.45">
      <c r="E4">
        <v>44.5</v>
      </c>
      <c r="F4">
        <v>48</v>
      </c>
      <c r="G4">
        <v>110</v>
      </c>
      <c r="H4">
        <v>99</v>
      </c>
      <c r="I4">
        <v>77</v>
      </c>
      <c r="J4">
        <v>55.5</v>
      </c>
      <c r="K4">
        <v>81.5</v>
      </c>
      <c r="L4">
        <v>66.5</v>
      </c>
      <c r="M4">
        <v>69</v>
      </c>
      <c r="N4">
        <v>75</v>
      </c>
      <c r="T4">
        <f>48*48</f>
        <v>2304</v>
      </c>
    </row>
    <row r="5" spans="1:20" x14ac:dyDescent="0.45">
      <c r="A5" t="s">
        <v>11</v>
      </c>
      <c r="C5" t="s">
        <v>12</v>
      </c>
      <c r="D5" t="s">
        <v>13</v>
      </c>
      <c r="E5" s="1">
        <v>46101</v>
      </c>
      <c r="F5" s="1">
        <v>46129</v>
      </c>
      <c r="G5" s="1">
        <v>46157</v>
      </c>
      <c r="H5" s="1">
        <v>46191</v>
      </c>
      <c r="I5" s="1">
        <v>46283</v>
      </c>
      <c r="J5" s="1">
        <v>46374</v>
      </c>
      <c r="K5" s="1">
        <v>46465</v>
      </c>
      <c r="L5" s="1">
        <v>46555</v>
      </c>
      <c r="M5" s="1">
        <v>46647</v>
      </c>
      <c r="N5" s="1">
        <v>46738</v>
      </c>
      <c r="T5">
        <f>48-20</f>
        <v>28</v>
      </c>
    </row>
    <row r="6" spans="1:20" x14ac:dyDescent="0.45">
      <c r="A6">
        <v>20</v>
      </c>
      <c r="B6" t="s">
        <v>1</v>
      </c>
      <c r="C6">
        <v>44.5</v>
      </c>
      <c r="D6" s="1">
        <v>46101</v>
      </c>
      <c r="E6" s="3"/>
      <c r="F6" s="10">
        <f ca="1">(F4-($C$6*(($D$6-(TODAY()))/(F$5-(TODAY())))))/((F$2-$A$6)/F$2)</f>
        <v>51.446808510638292</v>
      </c>
      <c r="G6" s="4">
        <f t="shared" ref="F6:N6" ca="1" si="0">(G4-($C$6*(($D$6-(TODAY()))/(G$5-(TODAY())))))/((G$2-$A$6)/G$2)</f>
        <v>133.36760233918127</v>
      </c>
      <c r="H6" s="2">
        <f t="shared" ca="1" si="0"/>
        <v>111.29655207178143</v>
      </c>
      <c r="I6" s="2">
        <f t="shared" ca="1" si="0"/>
        <v>80.749109643041621</v>
      </c>
      <c r="J6" s="2">
        <f t="shared" ca="1" si="0"/>
        <v>56.444193080691932</v>
      </c>
      <c r="K6" s="2">
        <f t="shared" ca="1" si="0"/>
        <v>83.637218784648965</v>
      </c>
      <c r="L6" s="2">
        <f t="shared" ca="1" si="0"/>
        <v>67.556977905815117</v>
      </c>
      <c r="M6" s="2">
        <f t="shared" ca="1" si="0"/>
        <v>69.971676562424165</v>
      </c>
      <c r="N6" s="2">
        <f t="shared" ca="1" si="0"/>
        <v>76.021821718021258</v>
      </c>
      <c r="T6">
        <f>20*44.5</f>
        <v>890</v>
      </c>
    </row>
    <row r="7" spans="1:20" x14ac:dyDescent="0.45">
      <c r="A7">
        <v>49</v>
      </c>
      <c r="B7" t="s">
        <v>2</v>
      </c>
      <c r="C7">
        <v>72</v>
      </c>
      <c r="D7" s="1">
        <v>46129</v>
      </c>
      <c r="E7" s="3"/>
      <c r="F7" s="3"/>
      <c r="G7" s="2">
        <f t="shared" ref="G7:N7" ca="1" si="1">(G4-($C$7*(($D$7-(TODAY()))/(G$5-(TODAY())))))/((G$2-$A$7)/G$2)</f>
        <v>178.42</v>
      </c>
      <c r="H7" s="2">
        <f t="shared" ca="1" si="1"/>
        <v>121.65981059485055</v>
      </c>
      <c r="I7" s="2">
        <f t="shared" ca="1" si="1"/>
        <v>79.307327001356853</v>
      </c>
      <c r="J7" s="2">
        <f t="shared" ca="1" si="1"/>
        <v>52.69315068493151</v>
      </c>
      <c r="K7" s="2">
        <f t="shared" ca="1" si="1"/>
        <v>83.261395778938208</v>
      </c>
      <c r="L7" s="2">
        <f t="shared" ca="1" si="1"/>
        <v>66.171810638318988</v>
      </c>
      <c r="M7" s="2">
        <f t="shared" ca="1" si="1"/>
        <v>68.971083472853394</v>
      </c>
      <c r="N7" s="2">
        <f t="shared" ca="1" si="1"/>
        <v>75.46089150546679</v>
      </c>
    </row>
    <row r="8" spans="1:20" x14ac:dyDescent="0.45">
      <c r="A8">
        <v>77</v>
      </c>
      <c r="B8" t="s">
        <v>3</v>
      </c>
      <c r="C8">
        <v>95</v>
      </c>
      <c r="D8" s="1">
        <v>46157</v>
      </c>
      <c r="E8" s="3"/>
      <c r="F8" s="3"/>
      <c r="G8" s="3"/>
      <c r="H8" s="2">
        <f t="shared" ref="H8:N8" ca="1" si="2">(H4-($C$8*(($D$8-(TODAY()))/(H$5-(TODAY())))))/((H$2-$A$8)/H$2)</f>
        <v>109.80194279546681</v>
      </c>
      <c r="I8" s="2">
        <f t="shared" ca="1" si="2"/>
        <v>66.945273631840791</v>
      </c>
      <c r="J8" s="2">
        <f t="shared" ca="1" si="2"/>
        <v>42.134555899248781</v>
      </c>
      <c r="K8" s="2">
        <f t="shared" ca="1" si="2"/>
        <v>78.621083550913838</v>
      </c>
      <c r="L8" s="2">
        <f t="shared" ca="1" si="2"/>
        <v>61.387872236446505</v>
      </c>
      <c r="M8" s="2">
        <f t="shared" ca="1" si="2"/>
        <v>65.250568900126424</v>
      </c>
      <c r="N8" s="2">
        <f t="shared" ca="1" si="2"/>
        <v>72.639031736702918</v>
      </c>
    </row>
    <row r="9" spans="1:20" x14ac:dyDescent="0.45">
      <c r="A9">
        <v>111</v>
      </c>
      <c r="B9" t="s">
        <v>4</v>
      </c>
      <c r="C9">
        <v>51.5</v>
      </c>
      <c r="D9" s="1">
        <v>46191</v>
      </c>
      <c r="E9" s="3"/>
      <c r="F9" s="3"/>
      <c r="G9" s="3"/>
      <c r="H9" s="3"/>
      <c r="I9" s="2">
        <f t="shared" ref="I9:N9" ca="1" si="3">(I4-($C$9*(($D$9-(TODAY()))/(I$5-(TODAY())))))/((I$2-$A$9)/I$2)</f>
        <v>108.27874215877137</v>
      </c>
      <c r="J9" s="2">
        <f t="shared" ca="1" si="3"/>
        <v>58.278969234224107</v>
      </c>
      <c r="K9" s="2">
        <f t="shared" ca="1" si="3"/>
        <v>93.922214175449284</v>
      </c>
      <c r="L9" s="2">
        <f t="shared" ca="1" si="3"/>
        <v>71.29193480937667</v>
      </c>
      <c r="M9" s="2">
        <f t="shared" ca="1" si="3"/>
        <v>73.442169306008395</v>
      </c>
      <c r="N9" s="2">
        <f t="shared" ca="1" si="3"/>
        <v>79.925750769162164</v>
      </c>
      <c r="T9">
        <f>2352-934.5</f>
        <v>1417.5</v>
      </c>
    </row>
    <row r="10" spans="1:20" x14ac:dyDescent="0.45">
      <c r="A10">
        <v>203</v>
      </c>
      <c r="B10" t="s">
        <v>5</v>
      </c>
      <c r="C10">
        <v>54.5</v>
      </c>
      <c r="D10" s="1">
        <v>46283</v>
      </c>
      <c r="E10" s="3"/>
      <c r="F10" s="3"/>
      <c r="G10" s="3"/>
      <c r="H10" s="3"/>
      <c r="I10" s="3"/>
      <c r="J10" s="2">
        <f ca="1">(J4-($C$10*(($D$10-(TODAY()))/(J$5-(TODAY())))))/((J$2-$A$10)/J$2)</f>
        <v>58.104056902002121</v>
      </c>
      <c r="K10" s="2">
        <f ca="1">(K4-($C$10*(($D$10-(TODAY()))/(K$5-(TODAY())))))/((K$2-$A$10)/K$2)</f>
        <v>111.89997991564572</v>
      </c>
      <c r="L10" s="2">
        <f ca="1">(L4-($C$10*(($D$10-(TODAY()))/(L$5-(TODAY())))))/((L$2-$A$10)/L$2)</f>
        <v>75.686326327571209</v>
      </c>
      <c r="M10" s="2">
        <f ca="1">(M4-($C$10*(($D$10-(TODAY()))/(M$5-(TODAY())))))/((M$2-$A$10)/M$2)</f>
        <v>77.279458815520755</v>
      </c>
      <c r="N10" s="2">
        <f ca="1">(N4-($C$10*(($D$10-(TODAY()))/(N$5-(TODAY())))))/((N$2-$A$10)/N$2)</f>
        <v>84.312312382739194</v>
      </c>
    </row>
    <row r="11" spans="1:20" x14ac:dyDescent="0.45">
      <c r="A11">
        <v>294</v>
      </c>
      <c r="B11" t="s">
        <v>6</v>
      </c>
      <c r="C11">
        <v>56</v>
      </c>
      <c r="D11" s="1">
        <v>46374</v>
      </c>
      <c r="E11" s="3"/>
      <c r="F11" s="3"/>
      <c r="G11" s="3"/>
      <c r="H11" s="3"/>
      <c r="I11" s="3"/>
      <c r="J11" s="3"/>
      <c r="K11" s="2">
        <f ca="1">(K4-($C$11*(($D$11-(TODAY()))/(K$5-(TODAY())))))/((K$2-$A$11)/K$2)</f>
        <v>164.1770435830488</v>
      </c>
      <c r="L11" s="2">
        <f ca="1">(L4-($C$11*(($D$11-(TODAY()))/(L$5-(TODAY())))))/((L$2-$A$11)/L$2)</f>
        <v>83.79203508812914</v>
      </c>
      <c r="M11" s="2">
        <f ca="1">(M4-($C$11*(($D$11-(TODAY()))/(M$5-(TODAY())))))/((M$2-$A$11)/M$2)</f>
        <v>83.198230088495578</v>
      </c>
      <c r="N11" s="2">
        <f ca="1">(N4-($C$11*(($D$11-(TODAY()))/(N$5-(TODAY())))))/((N$2-$A$11)/N$2)</f>
        <v>90.516885553470928</v>
      </c>
      <c r="T11">
        <f>T9/28</f>
        <v>50.625</v>
      </c>
    </row>
    <row r="12" spans="1:20" x14ac:dyDescent="0.45">
      <c r="A12">
        <v>385</v>
      </c>
      <c r="B12" t="s">
        <v>7</v>
      </c>
      <c r="C12">
        <v>77.5</v>
      </c>
      <c r="D12" s="1">
        <v>46465</v>
      </c>
      <c r="E12" s="3"/>
      <c r="F12" s="3"/>
      <c r="G12" s="3"/>
      <c r="H12" s="3"/>
      <c r="I12" s="3"/>
      <c r="J12" s="3"/>
      <c r="K12" s="5"/>
      <c r="L12" s="2">
        <f ca="1">(L4-($C$12*(($D$12-(TODAY()))/(L$5-(TODAY())))))/((L$2-$A$12)/L$2)</f>
        <v>19.772140004698176</v>
      </c>
      <c r="M12" s="2">
        <f ca="1">(M4-($C$12*(($D$12-(TODAY()))/(M$5-(TODAY())))))/((M$2-$A$12)/M$2)</f>
        <v>51.293567052416613</v>
      </c>
      <c r="N12" s="2">
        <f ca="1">(N4-($C$12*(($D$12-(TODAY()))/(N$5-(TODAY())))))/((N$2-$A$12)/N$2)</f>
        <v>71.710639462163854</v>
      </c>
    </row>
    <row r="13" spans="1:20" x14ac:dyDescent="0.45">
      <c r="A13">
        <v>475</v>
      </c>
      <c r="B13" t="s">
        <v>8</v>
      </c>
      <c r="C13">
        <v>66.5</v>
      </c>
      <c r="D13" s="1">
        <v>46555</v>
      </c>
      <c r="E13" s="3"/>
      <c r="F13" s="3"/>
      <c r="G13" s="3"/>
      <c r="H13" s="3"/>
      <c r="I13" s="3"/>
      <c r="J13" s="3"/>
      <c r="K13" s="3"/>
      <c r="L13" s="6"/>
      <c r="M13" s="2">
        <f ca="1">(M4-($C$13*(($D$13-(TODAY()))/(M$5-(TODAY())))))/((M$2-$A$13)/M$2)</f>
        <v>82.143006925740693</v>
      </c>
      <c r="N13" s="2">
        <f ca="1">(N4-($C$13*(($D$13-(TODAY()))/(N$5-(TODAY())))))/((N$2-$A$13)/N$2)</f>
        <v>97.265585432493651</v>
      </c>
    </row>
    <row r="14" spans="1:20" x14ac:dyDescent="0.45">
      <c r="A14">
        <v>567</v>
      </c>
      <c r="B14" t="s">
        <v>9</v>
      </c>
      <c r="C14">
        <v>69</v>
      </c>
      <c r="D14" s="1">
        <v>46647</v>
      </c>
      <c r="E14" s="3"/>
      <c r="F14" s="3"/>
      <c r="G14" s="3"/>
      <c r="H14" s="3"/>
      <c r="I14" s="3"/>
      <c r="J14" s="3"/>
      <c r="K14" s="3"/>
      <c r="L14" s="3"/>
      <c r="M14" s="6"/>
      <c r="N14" s="2">
        <f ca="1">(N4-($C$14*(($D$14-(TODAY()))/(N$5-(TODAY())))))/((N$2-$A$14)/N$2)</f>
        <v>112.5949812382739</v>
      </c>
    </row>
    <row r="15" spans="1:20" x14ac:dyDescent="0.45">
      <c r="A15">
        <v>658</v>
      </c>
      <c r="B15" t="s">
        <v>10</v>
      </c>
      <c r="C15">
        <v>75</v>
      </c>
      <c r="D15" s="1">
        <v>46738</v>
      </c>
      <c r="E15" s="3"/>
      <c r="F15" s="3"/>
      <c r="G15" s="3"/>
      <c r="H15" s="3"/>
      <c r="I15" s="3"/>
      <c r="J15" s="3"/>
      <c r="K15" s="3"/>
      <c r="L15" s="3"/>
      <c r="M15" s="3"/>
      <c r="N15" s="3"/>
      <c r="T15">
        <f>2304-890</f>
        <v>1414</v>
      </c>
    </row>
    <row r="16" spans="1:20" x14ac:dyDescent="0.45">
      <c r="A16">
        <v>749</v>
      </c>
      <c r="B16" t="s">
        <v>14</v>
      </c>
      <c r="C16">
        <v>70</v>
      </c>
      <c r="D16" s="1">
        <v>46829</v>
      </c>
      <c r="E16" s="3"/>
      <c r="F16" s="3"/>
      <c r="G16" s="3"/>
      <c r="H16" s="3"/>
      <c r="I16" s="3"/>
      <c r="J16" s="3"/>
      <c r="K16" s="3"/>
      <c r="L16" s="3"/>
      <c r="M16" s="3"/>
      <c r="N16" s="3"/>
      <c r="T16" s="11">
        <f>T15/28</f>
        <v>50.5</v>
      </c>
    </row>
    <row r="17" spans="1:14" x14ac:dyDescent="0.45">
      <c r="A17">
        <v>840</v>
      </c>
      <c r="B17" t="s">
        <v>15</v>
      </c>
      <c r="C17">
        <v>74.5</v>
      </c>
      <c r="D17" s="1">
        <v>46920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45">
      <c r="A18">
        <v>931</v>
      </c>
      <c r="B18" t="s">
        <v>16</v>
      </c>
      <c r="C18">
        <v>88</v>
      </c>
      <c r="D18" s="1">
        <v>47011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45">
      <c r="A19">
        <v>1022</v>
      </c>
      <c r="B19" t="s">
        <v>17</v>
      </c>
      <c r="C19">
        <v>74</v>
      </c>
      <c r="D19" s="1">
        <v>47102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45">
      <c r="A20">
        <v>1393</v>
      </c>
      <c r="B20" t="s">
        <v>18</v>
      </c>
      <c r="C20">
        <v>80</v>
      </c>
      <c r="D20" s="1">
        <v>47473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45">
      <c r="A21" s="7">
        <v>1757</v>
      </c>
      <c r="B21" s="7" t="s">
        <v>19</v>
      </c>
      <c r="C21" s="7">
        <v>88</v>
      </c>
      <c r="D21" s="8">
        <v>47837</v>
      </c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45">
      <c r="A22">
        <v>2121</v>
      </c>
      <c r="B22" t="s">
        <v>20</v>
      </c>
      <c r="C22">
        <v>94.5</v>
      </c>
      <c r="D22" s="1">
        <v>48201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45">
      <c r="A23">
        <v>2485</v>
      </c>
      <c r="B23" t="s">
        <v>21</v>
      </c>
      <c r="C23">
        <v>103.5</v>
      </c>
      <c r="D23" s="1">
        <v>48565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45">
      <c r="A24">
        <v>2849</v>
      </c>
      <c r="B24" t="s">
        <v>22</v>
      </c>
      <c r="C24">
        <v>115</v>
      </c>
      <c r="D24" s="1">
        <v>48929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45">
      <c r="A25">
        <v>3213</v>
      </c>
      <c r="B25" t="s">
        <v>23</v>
      </c>
      <c r="C25">
        <v>120</v>
      </c>
      <c r="D25" s="1">
        <v>49293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45">
      <c r="A26">
        <v>3584</v>
      </c>
      <c r="B26" t="s">
        <v>24</v>
      </c>
      <c r="C26">
        <v>122</v>
      </c>
      <c r="D26" s="1">
        <v>49664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31" spans="1:14" x14ac:dyDescent="0.45">
      <c r="C31" t="s">
        <v>25</v>
      </c>
    </row>
    <row r="32" spans="1:14" x14ac:dyDescent="0.45">
      <c r="M32" s="9">
        <v>-0.13400000000000001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DA5D3-FFEC-4ECE-89E0-6E66E569426D}">
  <dimension ref="A2:Q32"/>
  <sheetViews>
    <sheetView tabSelected="1" workbookViewId="0">
      <selection activeCell="Q8" sqref="Q8"/>
    </sheetView>
  </sheetViews>
  <sheetFormatPr defaultRowHeight="14.25" x14ac:dyDescent="0.45"/>
  <cols>
    <col min="1" max="1" width="8" customWidth="1"/>
    <col min="2" max="2" width="10" customWidth="1"/>
    <col min="3" max="3" width="12" customWidth="1"/>
    <col min="4" max="4" width="14" customWidth="1"/>
    <col min="5" max="14" width="12" customWidth="1"/>
    <col min="17" max="17" width="9.73046875" bestFit="1" customWidth="1"/>
  </cols>
  <sheetData>
    <row r="2" spans="1:17" x14ac:dyDescent="0.45">
      <c r="E2">
        <v>21</v>
      </c>
      <c r="F2">
        <v>49</v>
      </c>
      <c r="G2">
        <v>77</v>
      </c>
      <c r="H2">
        <v>111</v>
      </c>
      <c r="I2">
        <v>203</v>
      </c>
      <c r="J2">
        <v>294</v>
      </c>
      <c r="K2">
        <v>385</v>
      </c>
      <c r="L2">
        <v>475</v>
      </c>
      <c r="M2">
        <v>567</v>
      </c>
      <c r="N2">
        <v>658</v>
      </c>
    </row>
    <row r="3" spans="1:17" x14ac:dyDescent="0.45">
      <c r="D3" t="s">
        <v>0</v>
      </c>
      <c r="E3" t="s">
        <v>1</v>
      </c>
      <c r="F3" t="s">
        <v>2</v>
      </c>
      <c r="G3" t="s">
        <v>3</v>
      </c>
      <c r="H3" t="s">
        <v>4</v>
      </c>
      <c r="I3" t="s">
        <v>5</v>
      </c>
      <c r="J3" t="s">
        <v>6</v>
      </c>
      <c r="K3" t="s">
        <v>7</v>
      </c>
      <c r="L3" t="s">
        <v>8</v>
      </c>
      <c r="M3" t="s">
        <v>9</v>
      </c>
      <c r="N3" t="s">
        <v>10</v>
      </c>
    </row>
    <row r="4" spans="1:17" x14ac:dyDescent="0.45">
      <c r="E4">
        <v>44.5</v>
      </c>
      <c r="F4">
        <v>72</v>
      </c>
      <c r="G4">
        <v>95</v>
      </c>
      <c r="H4">
        <v>51.5</v>
      </c>
      <c r="I4">
        <v>54.5</v>
      </c>
      <c r="J4">
        <v>56</v>
      </c>
      <c r="K4">
        <v>77.5</v>
      </c>
      <c r="L4">
        <v>66.5</v>
      </c>
      <c r="M4">
        <v>69</v>
      </c>
      <c r="N4">
        <v>75</v>
      </c>
    </row>
    <row r="5" spans="1:17" x14ac:dyDescent="0.45">
      <c r="A5" t="s">
        <v>11</v>
      </c>
      <c r="C5" t="s">
        <v>12</v>
      </c>
      <c r="D5" t="s">
        <v>13</v>
      </c>
      <c r="E5" s="1">
        <v>46101</v>
      </c>
      <c r="F5" s="1">
        <v>46129</v>
      </c>
      <c r="G5" s="1">
        <v>46157</v>
      </c>
      <c r="H5" s="1">
        <v>46191</v>
      </c>
      <c r="I5" s="1">
        <v>46283</v>
      </c>
      <c r="J5" s="1">
        <v>46374</v>
      </c>
      <c r="K5" s="1">
        <v>46465</v>
      </c>
      <c r="L5" s="1">
        <v>46555</v>
      </c>
      <c r="M5" s="1">
        <v>46647</v>
      </c>
      <c r="N5" s="1">
        <v>46738</v>
      </c>
    </row>
    <row r="6" spans="1:17" x14ac:dyDescent="0.45">
      <c r="A6">
        <v>21</v>
      </c>
      <c r="B6" t="s">
        <v>1</v>
      </c>
      <c r="C6">
        <v>44.5</v>
      </c>
      <c r="D6" s="1">
        <v>46101</v>
      </c>
      <c r="E6" s="3"/>
      <c r="F6" s="2">
        <f t="shared" ref="F6:N6" ca="1" si="0">(F4-($C$6*(($D$6-(TODAY()))/(F$5-(TODAY())))))/((F$2-$A$6)/F$2)</f>
        <v>94.518617021276597</v>
      </c>
      <c r="G6" s="4">
        <f t="shared" ca="1" si="0"/>
        <v>115.12416666666665</v>
      </c>
      <c r="H6" s="2">
        <f t="shared" ca="1" si="0"/>
        <v>53.949847094801221</v>
      </c>
      <c r="I6" s="2">
        <f t="shared" ca="1" si="0"/>
        <v>56.096632223497899</v>
      </c>
      <c r="J6" s="2">
        <f t="shared" ca="1" si="0"/>
        <v>57.18940990516333</v>
      </c>
      <c r="K6" s="2">
        <f t="shared" ca="1" si="0"/>
        <v>79.636222132958437</v>
      </c>
      <c r="L6" s="2">
        <f t="shared" ca="1" si="0"/>
        <v>67.705781821907223</v>
      </c>
      <c r="M6" s="2">
        <f t="shared" ca="1" si="0"/>
        <v>70.099829816201506</v>
      </c>
      <c r="N6" s="2">
        <f t="shared" ca="1" si="0"/>
        <v>76.141165237201832</v>
      </c>
      <c r="Q6">
        <v>262000</v>
      </c>
    </row>
    <row r="7" spans="1:17" x14ac:dyDescent="0.45">
      <c r="A7">
        <v>49</v>
      </c>
      <c r="B7" t="s">
        <v>2</v>
      </c>
      <c r="C7">
        <v>72</v>
      </c>
      <c r="D7" s="1">
        <v>46129</v>
      </c>
      <c r="E7" s="3"/>
      <c r="F7" s="3"/>
      <c r="G7" s="2">
        <f t="shared" ref="G7:N7" ca="1" si="1">(G4-($C$7*(($D$7-(TODAY()))/(G$5-(TODAY())))))/((G$2-$A$7)/G$2)</f>
        <v>137.16999999999999</v>
      </c>
      <c r="H7" s="2">
        <f t="shared" ca="1" si="1"/>
        <v>36.619488014205388</v>
      </c>
      <c r="I7" s="2">
        <f t="shared" ca="1" si="1"/>
        <v>49.648236092265947</v>
      </c>
      <c r="J7" s="2">
        <f t="shared" ca="1" si="1"/>
        <v>53.293150684931504</v>
      </c>
      <c r="K7" s="2">
        <f t="shared" ca="1" si="1"/>
        <v>78.67806244560488</v>
      </c>
      <c r="L7" s="2">
        <f t="shared" ca="1" si="1"/>
        <v>66.171810638318988</v>
      </c>
      <c r="M7" s="2">
        <f t="shared" ca="1" si="1"/>
        <v>68.971083472853394</v>
      </c>
      <c r="N7" s="2">
        <f t="shared" ca="1" si="1"/>
        <v>75.46089150546679</v>
      </c>
      <c r="Q7">
        <v>100000000</v>
      </c>
    </row>
    <row r="8" spans="1:17" x14ac:dyDescent="0.45">
      <c r="A8">
        <v>77</v>
      </c>
      <c r="B8" t="s">
        <v>3</v>
      </c>
      <c r="C8">
        <v>95</v>
      </c>
      <c r="D8" s="1">
        <v>46157</v>
      </c>
      <c r="E8" s="3"/>
      <c r="F8" s="3"/>
      <c r="G8" s="3"/>
      <c r="H8" s="2">
        <f t="shared" ref="H8:N8" ca="1" si="2">(H4-($C$8*(($D$8-(TODAY()))/(H$5-(TODAY())))))/((H$2-$A$8)/H$2)</f>
        <v>-45.27158661629791</v>
      </c>
      <c r="I8" s="2">
        <f t="shared" ca="1" si="2"/>
        <v>30.695273631840795</v>
      </c>
      <c r="J8" s="2">
        <f t="shared" ca="1" si="2"/>
        <v>42.811975254087486</v>
      </c>
      <c r="K8" s="2">
        <f t="shared" ca="1" si="2"/>
        <v>73.621083550913838</v>
      </c>
      <c r="L8" s="2">
        <f t="shared" ca="1" si="2"/>
        <v>61.387872236446505</v>
      </c>
      <c r="M8" s="2">
        <f t="shared" ca="1" si="2"/>
        <v>65.250568900126424</v>
      </c>
      <c r="N8" s="2">
        <f t="shared" ca="1" si="2"/>
        <v>72.639031736702918</v>
      </c>
      <c r="Q8" s="12">
        <f>Q6/Q7</f>
        <v>2.6199999999999999E-3</v>
      </c>
    </row>
    <row r="9" spans="1:17" x14ac:dyDescent="0.45">
      <c r="A9">
        <v>111</v>
      </c>
      <c r="B9" t="s">
        <v>4</v>
      </c>
      <c r="C9">
        <v>51.5</v>
      </c>
      <c r="D9" s="1">
        <v>46191</v>
      </c>
      <c r="E9" s="3"/>
      <c r="F9" s="3"/>
      <c r="G9" s="3"/>
      <c r="H9" s="3"/>
      <c r="I9" s="2">
        <f t="shared" ref="I9:N9" ca="1" si="3">(I4-($C$9*(($D$9-(TODAY()))/(I$5-(TODAY())))))/((I$2-$A$9)/I$2)</f>
        <v>58.632003028336584</v>
      </c>
      <c r="J9" s="2">
        <f t="shared" ca="1" si="3"/>
        <v>59.082247922748699</v>
      </c>
      <c r="K9" s="2">
        <f t="shared" ca="1" si="3"/>
        <v>88.301776219244914</v>
      </c>
      <c r="L9" s="2">
        <f t="shared" ca="1" si="3"/>
        <v>71.29193480937667</v>
      </c>
      <c r="M9" s="2">
        <f t="shared" ca="1" si="3"/>
        <v>73.442169306008395</v>
      </c>
      <c r="N9" s="2">
        <f t="shared" ca="1" si="3"/>
        <v>79.925750769162164</v>
      </c>
    </row>
    <row r="10" spans="1:17" x14ac:dyDescent="0.45">
      <c r="A10">
        <v>203</v>
      </c>
      <c r="B10" t="s">
        <v>5</v>
      </c>
      <c r="C10">
        <v>54.5</v>
      </c>
      <c r="D10" s="1">
        <v>46283</v>
      </c>
      <c r="E10" s="3"/>
      <c r="F10" s="3"/>
      <c r="G10" s="3"/>
      <c r="H10" s="3"/>
      <c r="I10" s="3"/>
      <c r="J10" s="2">
        <f ca="1">(J4-($C$10*(($D$10-(TODAY()))/(J$5-(TODAY())))))/((J$2-$A$10)/J$2)</f>
        <v>59.719441517386734</v>
      </c>
      <c r="K10" s="2">
        <f ca="1">(K4-($C$10*(($D$10-(TODAY()))/(K$5-(TODAY())))))/((K$2-$A$10)/K$2)</f>
        <v>103.43844145410726</v>
      </c>
      <c r="L10" s="2">
        <f ca="1">(L4-($C$10*(($D$10-(TODAY()))/(L$5-(TODAY())))))/((L$2-$A$10)/L$2)</f>
        <v>75.686326327571209</v>
      </c>
      <c r="M10" s="2">
        <f ca="1">(M4-($C$10*(($D$10-(TODAY()))/(M$5-(TODAY())))))/((M$2-$A$10)/M$2)</f>
        <v>77.279458815520755</v>
      </c>
      <c r="N10" s="2">
        <f ca="1">(N4-($C$10*(($D$10-(TODAY()))/(N$5-(TODAY())))))/((N$2-$A$10)/N$2)</f>
        <v>84.312312382739194</v>
      </c>
    </row>
    <row r="11" spans="1:17" x14ac:dyDescent="0.45">
      <c r="A11">
        <v>294</v>
      </c>
      <c r="B11" t="s">
        <v>6</v>
      </c>
      <c r="C11">
        <v>56</v>
      </c>
      <c r="D11" s="1">
        <v>46374</v>
      </c>
      <c r="E11" s="3"/>
      <c r="F11" s="3"/>
      <c r="G11" s="3"/>
      <c r="H11" s="3"/>
      <c r="I11" s="3"/>
      <c r="J11" s="3"/>
      <c r="K11" s="2">
        <f ca="1">(K4-($C$11*(($D$11-(TODAY()))/(K$5-(TODAY())))))/((K$2-$A$11)/K$2)</f>
        <v>147.25396665997187</v>
      </c>
      <c r="L11" s="2">
        <f ca="1">(L4-($C$11*(($D$11-(TODAY()))/(L$5-(TODAY())))))/((L$2-$A$11)/L$2)</f>
        <v>83.79203508812914</v>
      </c>
      <c r="M11" s="2">
        <f ca="1">(M4-($C$11*(($D$11-(TODAY()))/(M$5-(TODAY())))))/((M$2-$A$11)/M$2)</f>
        <v>83.198230088495578</v>
      </c>
      <c r="N11" s="2">
        <f ca="1">(N4-($C$11*(($D$11-(TODAY()))/(N$5-(TODAY())))))/((N$2-$A$11)/N$2)</f>
        <v>90.516885553470928</v>
      </c>
    </row>
    <row r="12" spans="1:17" x14ac:dyDescent="0.45">
      <c r="A12">
        <v>385</v>
      </c>
      <c r="B12" t="s">
        <v>7</v>
      </c>
      <c r="C12">
        <v>77.5</v>
      </c>
      <c r="D12" s="1">
        <v>46465</v>
      </c>
      <c r="E12" s="3"/>
      <c r="F12" s="3"/>
      <c r="G12" s="3"/>
      <c r="H12" s="3"/>
      <c r="I12" s="3"/>
      <c r="J12" s="3"/>
      <c r="K12" s="5"/>
      <c r="L12" s="2">
        <f ca="1">(L4-($C$12*(($D$12-(TODAY()))/(L$5-(TODAY())))))/((L$2-$A$12)/L$2)</f>
        <v>19.772140004698176</v>
      </c>
      <c r="M12" s="2">
        <f ca="1">(M4-($C$12*(($D$12-(TODAY()))/(M$5-(TODAY())))))/((M$2-$A$12)/M$2)</f>
        <v>51.293567052416613</v>
      </c>
      <c r="N12" s="2">
        <f ca="1">(N4-($C$12*(($D$12-(TODAY()))/(N$5-(TODAY())))))/((N$2-$A$12)/N$2)</f>
        <v>71.710639462163854</v>
      </c>
    </row>
    <row r="13" spans="1:17" x14ac:dyDescent="0.45">
      <c r="A13">
        <v>475</v>
      </c>
      <c r="B13" t="s">
        <v>8</v>
      </c>
      <c r="C13">
        <v>66.5</v>
      </c>
      <c r="D13" s="1">
        <v>46555</v>
      </c>
      <c r="E13" s="3"/>
      <c r="F13" s="3"/>
      <c r="G13" s="3"/>
      <c r="H13" s="3"/>
      <c r="I13" s="3"/>
      <c r="J13" s="3"/>
      <c r="K13" s="3"/>
      <c r="L13" s="6"/>
      <c r="M13" s="2">
        <f ca="1">(M4-($C$13*(($D$13-(TODAY()))/(M$5-(TODAY())))))/((M$2-$A$13)/M$2)</f>
        <v>82.143006925740693</v>
      </c>
      <c r="N13" s="2">
        <f ca="1">(N4-($C$13*(($D$13-(TODAY()))/(N$5-(TODAY())))))/((N$2-$A$13)/N$2)</f>
        <v>97.265585432493651</v>
      </c>
    </row>
    <row r="14" spans="1:17" x14ac:dyDescent="0.45">
      <c r="A14">
        <v>567</v>
      </c>
      <c r="B14" t="s">
        <v>9</v>
      </c>
      <c r="C14">
        <v>69</v>
      </c>
      <c r="D14" s="1">
        <v>46647</v>
      </c>
      <c r="E14" s="3"/>
      <c r="F14" s="3"/>
      <c r="G14" s="3"/>
      <c r="H14" s="3"/>
      <c r="I14" s="3"/>
      <c r="J14" s="3"/>
      <c r="K14" s="3"/>
      <c r="L14" s="3"/>
      <c r="M14" s="6"/>
      <c r="N14" s="2">
        <f ca="1">(N4-($C$14*(($D$14-(TODAY()))/(N$5-(TODAY())))))/((N$2-$A$14)/N$2)</f>
        <v>112.5949812382739</v>
      </c>
    </row>
    <row r="15" spans="1:17" x14ac:dyDescent="0.45">
      <c r="A15">
        <v>658</v>
      </c>
      <c r="B15" t="s">
        <v>10</v>
      </c>
      <c r="C15">
        <v>75</v>
      </c>
      <c r="D15" s="1">
        <v>46738</v>
      </c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7" x14ac:dyDescent="0.45">
      <c r="A16">
        <v>749</v>
      </c>
      <c r="B16" t="s">
        <v>14</v>
      </c>
      <c r="C16">
        <v>70</v>
      </c>
      <c r="D16" s="1">
        <v>46829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45">
      <c r="A17">
        <v>840</v>
      </c>
      <c r="B17" t="s">
        <v>15</v>
      </c>
      <c r="C17">
        <v>74.5</v>
      </c>
      <c r="D17" s="1">
        <v>46920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45">
      <c r="A18">
        <v>931</v>
      </c>
      <c r="B18" t="s">
        <v>16</v>
      </c>
      <c r="C18">
        <v>88</v>
      </c>
      <c r="D18" s="1">
        <v>47011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45">
      <c r="A19">
        <v>1022</v>
      </c>
      <c r="B19" t="s">
        <v>17</v>
      </c>
      <c r="C19">
        <v>74</v>
      </c>
      <c r="D19" s="1">
        <v>47102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45">
      <c r="A20">
        <v>1393</v>
      </c>
      <c r="B20" t="s">
        <v>18</v>
      </c>
      <c r="C20">
        <v>80</v>
      </c>
      <c r="D20" s="1">
        <v>47473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45">
      <c r="A21" s="7">
        <v>1757</v>
      </c>
      <c r="B21" s="7" t="s">
        <v>19</v>
      </c>
      <c r="C21" s="7">
        <v>88</v>
      </c>
      <c r="D21" s="8">
        <v>47837</v>
      </c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45">
      <c r="A22">
        <v>2121</v>
      </c>
      <c r="B22" t="s">
        <v>20</v>
      </c>
      <c r="C22">
        <v>94.5</v>
      </c>
      <c r="D22" s="1">
        <v>48201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45">
      <c r="A23">
        <v>2485</v>
      </c>
      <c r="B23" t="s">
        <v>21</v>
      </c>
      <c r="C23">
        <v>103.5</v>
      </c>
      <c r="D23" s="1">
        <v>48565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45">
      <c r="A24">
        <v>2849</v>
      </c>
      <c r="B24" t="s">
        <v>22</v>
      </c>
      <c r="C24">
        <v>115</v>
      </c>
      <c r="D24" s="1">
        <v>48929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45">
      <c r="A25">
        <v>3213</v>
      </c>
      <c r="B25" t="s">
        <v>23</v>
      </c>
      <c r="C25">
        <v>120</v>
      </c>
      <c r="D25" s="1">
        <v>49293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45">
      <c r="A26">
        <v>3584</v>
      </c>
      <c r="B26" t="s">
        <v>24</v>
      </c>
      <c r="C26">
        <v>122</v>
      </c>
      <c r="D26" s="1">
        <v>49664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9" spans="1:14" x14ac:dyDescent="0.45">
      <c r="E29">
        <v>44.5</v>
      </c>
      <c r="F29">
        <v>72</v>
      </c>
      <c r="G29">
        <v>95</v>
      </c>
      <c r="H29">
        <v>51.5</v>
      </c>
      <c r="I29">
        <v>54.5</v>
      </c>
      <c r="J29">
        <v>56</v>
      </c>
      <c r="K29">
        <v>77.5</v>
      </c>
      <c r="L29">
        <v>66.5</v>
      </c>
      <c r="M29">
        <v>69</v>
      </c>
      <c r="N29">
        <v>75</v>
      </c>
    </row>
    <row r="31" spans="1:14" x14ac:dyDescent="0.45">
      <c r="C31" t="s">
        <v>25</v>
      </c>
    </row>
    <row r="32" spans="1:14" x14ac:dyDescent="0.45">
      <c r="M32" s="9">
        <v>-0.13400000000000001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9ABF8-2CA3-44AB-9D65-FE2D58E82CD9}">
  <dimension ref="A1:D22"/>
  <sheetViews>
    <sheetView workbookViewId="0">
      <selection activeCell="D1" sqref="A1:D22"/>
    </sheetView>
  </sheetViews>
  <sheetFormatPr defaultRowHeight="14.25" x14ac:dyDescent="0.45"/>
  <cols>
    <col min="1" max="1" width="13.1328125" bestFit="1" customWidth="1"/>
    <col min="2" max="2" width="15.53125" bestFit="1" customWidth="1"/>
    <col min="3" max="3" width="8.86328125" bestFit="1" customWidth="1"/>
    <col min="4" max="4" width="16.73046875" bestFit="1" customWidth="1"/>
  </cols>
  <sheetData>
    <row r="1" spans="1:4" x14ac:dyDescent="0.45">
      <c r="A1" t="s">
        <v>26</v>
      </c>
      <c r="B1" t="s">
        <v>27</v>
      </c>
      <c r="C1" t="s">
        <v>12</v>
      </c>
      <c r="D1" t="s">
        <v>28</v>
      </c>
    </row>
    <row r="2" spans="1:4" x14ac:dyDescent="0.45">
      <c r="A2" t="s">
        <v>1</v>
      </c>
      <c r="B2">
        <v>21</v>
      </c>
      <c r="C2">
        <v>44.5</v>
      </c>
      <c r="D2" s="1">
        <v>46101</v>
      </c>
    </row>
    <row r="3" spans="1:4" x14ac:dyDescent="0.45">
      <c r="A3" t="s">
        <v>2</v>
      </c>
      <c r="B3">
        <v>49</v>
      </c>
      <c r="C3">
        <v>72</v>
      </c>
      <c r="D3" s="1">
        <v>46129</v>
      </c>
    </row>
    <row r="4" spans="1:4" x14ac:dyDescent="0.45">
      <c r="A4" t="s">
        <v>3</v>
      </c>
      <c r="B4">
        <v>77</v>
      </c>
      <c r="C4">
        <v>95</v>
      </c>
      <c r="D4" s="1">
        <v>46157</v>
      </c>
    </row>
    <row r="5" spans="1:4" x14ac:dyDescent="0.45">
      <c r="A5" t="s">
        <v>4</v>
      </c>
      <c r="B5">
        <v>111</v>
      </c>
      <c r="C5">
        <v>51.5</v>
      </c>
      <c r="D5" s="1">
        <v>46191</v>
      </c>
    </row>
    <row r="6" spans="1:4" x14ac:dyDescent="0.45">
      <c r="A6" t="s">
        <v>5</v>
      </c>
      <c r="B6">
        <v>203</v>
      </c>
      <c r="C6">
        <v>54.5</v>
      </c>
      <c r="D6" s="1">
        <v>46283</v>
      </c>
    </row>
    <row r="7" spans="1:4" x14ac:dyDescent="0.45">
      <c r="A7" t="s">
        <v>6</v>
      </c>
      <c r="B7">
        <v>294</v>
      </c>
      <c r="C7">
        <v>56</v>
      </c>
      <c r="D7" s="1">
        <v>46374</v>
      </c>
    </row>
    <row r="8" spans="1:4" x14ac:dyDescent="0.45">
      <c r="A8" t="s">
        <v>7</v>
      </c>
      <c r="B8">
        <v>385</v>
      </c>
      <c r="C8">
        <v>77.5</v>
      </c>
      <c r="D8" s="1">
        <v>46465</v>
      </c>
    </row>
    <row r="9" spans="1:4" x14ac:dyDescent="0.45">
      <c r="A9" t="s">
        <v>8</v>
      </c>
      <c r="B9">
        <v>475</v>
      </c>
      <c r="C9">
        <v>66.5</v>
      </c>
      <c r="D9" s="1">
        <v>46555</v>
      </c>
    </row>
    <row r="10" spans="1:4" x14ac:dyDescent="0.45">
      <c r="A10" t="s">
        <v>9</v>
      </c>
      <c r="B10">
        <v>567</v>
      </c>
      <c r="C10">
        <v>69</v>
      </c>
      <c r="D10" s="1">
        <v>46647</v>
      </c>
    </row>
    <row r="11" spans="1:4" x14ac:dyDescent="0.45">
      <c r="A11" t="s">
        <v>10</v>
      </c>
      <c r="B11">
        <v>658</v>
      </c>
      <c r="C11">
        <v>75</v>
      </c>
      <c r="D11" s="1">
        <v>46738</v>
      </c>
    </row>
    <row r="12" spans="1:4" x14ac:dyDescent="0.45">
      <c r="A12" t="s">
        <v>14</v>
      </c>
      <c r="B12">
        <v>749</v>
      </c>
      <c r="C12">
        <v>70</v>
      </c>
      <c r="D12" s="1">
        <v>46829</v>
      </c>
    </row>
    <row r="13" spans="1:4" x14ac:dyDescent="0.45">
      <c r="A13" t="s">
        <v>15</v>
      </c>
      <c r="B13">
        <v>840</v>
      </c>
      <c r="C13">
        <v>74.5</v>
      </c>
      <c r="D13" s="1">
        <v>46920</v>
      </c>
    </row>
    <row r="14" spans="1:4" x14ac:dyDescent="0.45">
      <c r="A14" t="s">
        <v>16</v>
      </c>
      <c r="B14">
        <v>931</v>
      </c>
      <c r="C14">
        <v>88</v>
      </c>
      <c r="D14" s="1">
        <v>47011</v>
      </c>
    </row>
    <row r="15" spans="1:4" x14ac:dyDescent="0.45">
      <c r="A15" t="s">
        <v>17</v>
      </c>
      <c r="B15">
        <v>1022</v>
      </c>
      <c r="C15">
        <v>74</v>
      </c>
      <c r="D15" s="1">
        <v>47102</v>
      </c>
    </row>
    <row r="16" spans="1:4" x14ac:dyDescent="0.45">
      <c r="A16" t="s">
        <v>18</v>
      </c>
      <c r="B16">
        <v>1393</v>
      </c>
      <c r="C16">
        <v>80</v>
      </c>
      <c r="D16" s="1">
        <v>47473</v>
      </c>
    </row>
    <row r="17" spans="1:4" x14ac:dyDescent="0.45">
      <c r="A17" s="7" t="s">
        <v>19</v>
      </c>
      <c r="B17" s="7">
        <v>1757</v>
      </c>
      <c r="C17" s="7">
        <v>88</v>
      </c>
      <c r="D17" s="8">
        <v>47837</v>
      </c>
    </row>
    <row r="18" spans="1:4" x14ac:dyDescent="0.45">
      <c r="A18" t="s">
        <v>20</v>
      </c>
      <c r="B18">
        <v>2121</v>
      </c>
      <c r="C18">
        <v>94.5</v>
      </c>
      <c r="D18" s="1">
        <v>48201</v>
      </c>
    </row>
    <row r="19" spans="1:4" x14ac:dyDescent="0.45">
      <c r="A19" t="s">
        <v>21</v>
      </c>
      <c r="B19">
        <v>2485</v>
      </c>
      <c r="C19">
        <v>103.5</v>
      </c>
      <c r="D19" s="1">
        <v>48565</v>
      </c>
    </row>
    <row r="20" spans="1:4" x14ac:dyDescent="0.45">
      <c r="A20" t="s">
        <v>22</v>
      </c>
      <c r="B20">
        <v>2849</v>
      </c>
      <c r="C20">
        <v>115</v>
      </c>
      <c r="D20" s="1">
        <v>48929</v>
      </c>
    </row>
    <row r="21" spans="1:4" x14ac:dyDescent="0.45">
      <c r="A21" t="s">
        <v>23</v>
      </c>
      <c r="B21">
        <v>3213</v>
      </c>
      <c r="C21">
        <v>120</v>
      </c>
      <c r="D21" s="1">
        <v>49293</v>
      </c>
    </row>
    <row r="22" spans="1:4" x14ac:dyDescent="0.45">
      <c r="A22" t="s">
        <v>24</v>
      </c>
      <c r="B22">
        <v>3584</v>
      </c>
      <c r="C22">
        <v>122</v>
      </c>
      <c r="D22" s="1">
        <v>49664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Mid Spreads</vt:lpstr>
      <vt:lpstr>Mid spreads with same prices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Chow</cp:lastModifiedBy>
  <dcterms:created xsi:type="dcterms:W3CDTF">2026-02-28T03:10:39Z</dcterms:created>
  <dcterms:modified xsi:type="dcterms:W3CDTF">2026-03-01T17:01:44Z</dcterms:modified>
</cp:coreProperties>
</file>