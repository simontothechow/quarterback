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dae8be99c1de88c/Desktop/Quarterback_v1/data/Futures data B/"/>
    </mc:Choice>
  </mc:AlternateContent>
  <xr:revisionPtr revIDLastSave="0" documentId="8_{7A999560-0246-483B-9003-29BBB6A5EC09}" xr6:coauthVersionLast="47" xr6:coauthVersionMax="47" xr10:uidLastSave="{00000000-0000-0000-0000-000000000000}"/>
  <bookViews>
    <workbookView xWindow="16875" yWindow="-16320" windowWidth="29040" windowHeight="15840" xr2:uid="{00000000-000D-0000-FFFF-FFFF00000000}"/>
  </bookViews>
  <sheets>
    <sheet name="Mid Sprea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M13" i="1"/>
  <c r="N12" i="1"/>
  <c r="M12" i="1"/>
  <c r="L12" i="1"/>
  <c r="N11" i="1"/>
  <c r="M11" i="1"/>
  <c r="L11" i="1"/>
  <c r="K11" i="1"/>
  <c r="N10" i="1"/>
  <c r="M10" i="1"/>
  <c r="L10" i="1"/>
  <c r="K10" i="1"/>
  <c r="J10" i="1"/>
  <c r="N9" i="1"/>
  <c r="M9" i="1"/>
  <c r="L9" i="1"/>
  <c r="K9" i="1"/>
  <c r="J9" i="1"/>
  <c r="I9" i="1"/>
  <c r="N8" i="1"/>
  <c r="M8" i="1"/>
  <c r="L8" i="1"/>
  <c r="K8" i="1"/>
  <c r="J8" i="1"/>
  <c r="I8" i="1"/>
  <c r="H8" i="1"/>
  <c r="N7" i="1"/>
  <c r="M7" i="1"/>
  <c r="L7" i="1"/>
  <c r="K7" i="1"/>
  <c r="J7" i="1"/>
  <c r="I7" i="1"/>
  <c r="H7" i="1"/>
  <c r="G7" i="1"/>
  <c r="N6" i="1"/>
  <c r="M6" i="1"/>
  <c r="L6" i="1"/>
  <c r="K6" i="1"/>
  <c r="J6" i="1"/>
  <c r="I6" i="1"/>
  <c r="H6" i="1"/>
  <c r="G6" i="1"/>
  <c r="F6" i="1"/>
</calcChain>
</file>

<file path=xl/sharedStrings.xml><?xml version="1.0" encoding="utf-8"?>
<sst xmlns="http://schemas.openxmlformats.org/spreadsheetml/2006/main" count="36" uniqueCount="26">
  <si>
    <t>CORRECTED: Row 4 now matches Column C (same contract = same price)</t>
  </si>
  <si>
    <t>End</t>
  </si>
  <si>
    <t>AXWH6</t>
  </si>
  <si>
    <t>AXWJ6</t>
  </si>
  <si>
    <t>AXWK6</t>
  </si>
  <si>
    <t>AXWM6</t>
  </si>
  <si>
    <t>AXWU6</t>
  </si>
  <si>
    <t>AXWZ6</t>
  </si>
  <si>
    <t>AXWH7</t>
  </si>
  <si>
    <t>AXWM7</t>
  </si>
  <si>
    <t>AXWU7</t>
  </si>
  <si>
    <t>AXWZ7</t>
  </si>
  <si>
    <t>Start</t>
  </si>
  <si>
    <t>last_price</t>
  </si>
  <si>
    <t>FUT_DLV_DT_FIRST</t>
  </si>
  <si>
    <t>AXWH8</t>
  </si>
  <si>
    <t>AXWM8</t>
  </si>
  <si>
    <t>AXWU8</t>
  </si>
  <si>
    <t>AXWZ8</t>
  </si>
  <si>
    <t>AXWH9</t>
  </si>
  <si>
    <t>AXWZ0</t>
  </si>
  <si>
    <t>AXWZ31</t>
  </si>
  <si>
    <t>AXWZ32</t>
  </si>
  <si>
    <t>AXWZ33</t>
  </si>
  <si>
    <t>AXWZ34</t>
  </si>
  <si>
    <t>AXWZ35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</si>
</sst>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/d/yyyy"/>
    <numFmt numFmtId="166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rgb="FF008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F00"/>
        <bgColor rgb="FFFFFF00"/>
      </patternFill>
    </fill>
    <fill>
      <patternFill patternType="solid">
        <fgColor rgb="FF404040"/>
        <bgColor rgb="FF404040"/>
      </patternFill>
    </fill>
    <fill>
      <patternFill patternType="solid">
        <fgColor rgb="FFFFA500"/>
        <b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165" fontId="0" fillId="0" borderId="0" xfId="0" applyNumberFormat="1"/>
    <xf numFmtId="0" fontId="0" fillId="4" borderId="0" xfId="0" applyFill="1"/>
    <xf numFmtId="166" fontId="0" fillId="0" borderId="0" xfId="0" applyNumberFormat="1"/>
    <xf numFmtId="166" fontId="0" fillId="5" borderId="0" xfId="0" applyNumberFormat="1" applyFill="1"/>
    <xf numFmtId="0" fontId="0" fillId="3" borderId="0" xfId="0" applyFill="1"/>
    <xf numFmtId="165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3" workbookViewId="0">
      <selection activeCell="Q16" sqref="Q16"/>
    </sheetView>
  </sheetViews>
  <sheetFormatPr defaultRowHeight="14.25" x14ac:dyDescent="0.45"/>
  <cols>
    <col min="1" max="1" width="8" customWidth="1"/>
    <col min="2" max="2" width="10" customWidth="1"/>
    <col min="3" max="3" width="12" customWidth="1"/>
    <col min="4" max="4" width="14" customWidth="1"/>
    <col min="5" max="14" width="12" customWidth="1"/>
  </cols>
  <sheetData>
    <row r="1" spans="1:14" x14ac:dyDescent="0.45">
      <c r="A1" s="1" t="s">
        <v>0</v>
      </c>
    </row>
    <row r="2" spans="1:14" x14ac:dyDescent="0.45">
      <c r="E2">
        <v>21</v>
      </c>
      <c r="F2">
        <v>49</v>
      </c>
      <c r="G2">
        <v>77</v>
      </c>
      <c r="H2">
        <v>111</v>
      </c>
      <c r="I2">
        <v>203</v>
      </c>
      <c r="J2">
        <v>294</v>
      </c>
      <c r="K2">
        <v>385</v>
      </c>
      <c r="L2">
        <v>475</v>
      </c>
      <c r="M2">
        <v>567</v>
      </c>
      <c r="N2">
        <v>658</v>
      </c>
    </row>
    <row r="3" spans="1:14" x14ac:dyDescent="0.45"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</row>
    <row r="4" spans="1:14" x14ac:dyDescent="0.45">
      <c r="E4" s="2">
        <v>44.5</v>
      </c>
      <c r="F4" s="2">
        <v>72</v>
      </c>
      <c r="G4" s="2">
        <v>95</v>
      </c>
      <c r="H4" s="2">
        <v>51.5</v>
      </c>
      <c r="I4" s="2">
        <v>54.5</v>
      </c>
      <c r="J4" s="2">
        <v>56</v>
      </c>
      <c r="K4" s="2">
        <v>77.5</v>
      </c>
      <c r="L4" s="2">
        <v>66.5</v>
      </c>
      <c r="M4" s="2">
        <v>69</v>
      </c>
      <c r="N4" s="2">
        <v>75</v>
      </c>
    </row>
    <row r="5" spans="1:14" x14ac:dyDescent="0.45">
      <c r="A5" t="s">
        <v>12</v>
      </c>
      <c r="C5" t="s">
        <v>13</v>
      </c>
      <c r="D5" t="s">
        <v>14</v>
      </c>
      <c r="E5" s="3">
        <v>46101</v>
      </c>
      <c r="F5" s="3">
        <v>46129</v>
      </c>
      <c r="G5" s="3">
        <v>46157</v>
      </c>
      <c r="H5" s="3">
        <v>46191</v>
      </c>
      <c r="I5" s="3">
        <v>46283</v>
      </c>
      <c r="J5" s="3">
        <v>46374</v>
      </c>
      <c r="K5" s="3">
        <v>46465</v>
      </c>
      <c r="L5" s="3">
        <v>46555</v>
      </c>
      <c r="M5" s="3">
        <v>46647</v>
      </c>
      <c r="N5" s="3">
        <v>46738</v>
      </c>
    </row>
    <row r="6" spans="1:14" x14ac:dyDescent="0.45">
      <c r="A6">
        <v>21</v>
      </c>
      <c r="B6" t="s">
        <v>2</v>
      </c>
      <c r="C6">
        <v>44.5</v>
      </c>
      <c r="D6" s="3">
        <v>46101</v>
      </c>
      <c r="E6" s="4"/>
      <c r="F6" s="5">
        <f ca="1">(F4-($C$6*(($D$6-(TODAY()))/(F$5-(TODAY())))))/((F$2-$A$6)/F$2)</f>
        <v>93.552083333333329</v>
      </c>
      <c r="G6" s="6">
        <f ca="1">(G4-($C$6*(($D$6-(TODAY()))/(G$5-(TODAY())))))/((G$2-$A$6)/G$2)</f>
        <v>114.52302631578947</v>
      </c>
      <c r="H6" s="5">
        <f ca="1">(H4-($C$6*(($D$6-(TODAY()))/(H$5-(TODAY())))))/((H$2-$A$6)/H$2)</f>
        <v>53.537878787878782</v>
      </c>
      <c r="I6" s="5">
        <f ca="1">(I4-($C$6*(($D$6-(TODAY()))/(I$5-(TODAY())))))/((I$2-$A$6)/I$2)</f>
        <v>55.874143183549123</v>
      </c>
      <c r="J6" s="5">
        <f ca="1">(J4-($C$6*(($D$6-(TODAY()))/(J$5-(TODAY())))))/((J$2-$A$6)/J$2)</f>
        <v>57.036492517721186</v>
      </c>
      <c r="K6" s="5">
        <f ca="1">(K4-($C$6*(($D$6-(TODAY()))/(K$5-(TODAY())))))/((K$2-$A$6)/K$2)</f>
        <v>79.519731570512832</v>
      </c>
      <c r="L6" s="5">
        <f ca="1">(L4-($C$6*(($D$6-(TODAY()))/(L$5-(TODAY())))))/((L$2-$A$6)/L$2)</f>
        <v>67.611503001914528</v>
      </c>
      <c r="M6" s="5">
        <f ca="1">(M4-($C$6*(($D$6-(TODAY()))/(M$5-(TODAY())))))/((M$2-$A$6)/M$2)</f>
        <v>70.020929600434897</v>
      </c>
      <c r="N6" s="5">
        <f ca="1">(N4-($C$6*(($D$6-(TODAY()))/(N$5-(TODAY())))))/((N$2-$A$6)/N$2)</f>
        <v>76.073226621171827</v>
      </c>
    </row>
    <row r="7" spans="1:14" x14ac:dyDescent="0.45">
      <c r="A7">
        <v>49</v>
      </c>
      <c r="B7" t="s">
        <v>3</v>
      </c>
      <c r="C7">
        <v>72</v>
      </c>
      <c r="D7" s="3">
        <v>46129</v>
      </c>
      <c r="E7" s="4"/>
      <c r="F7" s="4"/>
      <c r="G7" s="5">
        <f ca="1">(G4-($C$7*(($D$7-(TODAY()))/(G$5-(TODAY())))))/((G$2-$A$7)/G$2)</f>
        <v>136.19736842105263</v>
      </c>
      <c r="H7" s="5">
        <f ca="1">(H4-($C$7*(($D$7-(TODAY()))/(H$5-(TODAY())))))/((H$2-$A$7)/H$2)</f>
        <v>35.952932551319648</v>
      </c>
      <c r="I7" s="5">
        <f ca="1">(I4-($C$7*(($D$7-(TODAY()))/(I$5-(TODAY())))))/((I$2-$A$7)/I$2)</f>
        <v>49.28825382538254</v>
      </c>
      <c r="J7" s="5">
        <f ca="1">(J4-($C$7*(($D$7-(TODAY()))/(J$5-(TODAY())))))/((J$2-$A$7)/J$2)</f>
        <v>53.045733788395907</v>
      </c>
      <c r="K7" s="5">
        <f ca="1">(K4-($C$7*(($D$7-(TODAY()))/(K$5-(TODAY())))))/((K$2-$A$7)/K$2)</f>
        <v>78.489583333333343</v>
      </c>
      <c r="L7" s="5">
        <f ca="1">(L4-($C$7*(($D$7-(TODAY()))/(L$5-(TODAY())))))/((L$2-$A$7)/L$2)</f>
        <v>66.019269626195992</v>
      </c>
      <c r="M7" s="5">
        <f ca="1">(M4-($C$7*(($D$7-(TODAY()))/(M$5-(TODAY())))))/((M$2-$A$7)/M$2)</f>
        <v>68.843424696781597</v>
      </c>
      <c r="N7" s="5">
        <f ca="1">(N4-($C$7*(($D$7-(TODAY()))/(N$5-(TODAY())))))/((N$2-$A$7)/N$2)</f>
        <v>75.350968351440727</v>
      </c>
    </row>
    <row r="8" spans="1:14" x14ac:dyDescent="0.45">
      <c r="A8">
        <v>77</v>
      </c>
      <c r="B8" t="s">
        <v>4</v>
      </c>
      <c r="C8">
        <v>95</v>
      </c>
      <c r="D8" s="3">
        <v>46157</v>
      </c>
      <c r="E8" s="4"/>
      <c r="F8" s="4"/>
      <c r="G8" s="4"/>
      <c r="H8" s="5">
        <f ca="1">(H4-($C$8*(($D$8-(TODAY()))/(H$5-(TODAY())))))/((H$2-$A$8)/H$2)</f>
        <v>-46.151069518716596</v>
      </c>
      <c r="I8" s="5">
        <f ca="1">(I4-($C$8*(($D$8-(TODAY()))/(I$5-(TODAY())))))/((I$2-$A$8)/I$2)</f>
        <v>30.220297029702966</v>
      </c>
      <c r="J8" s="5">
        <f ca="1">(J4-($C$8*(($D$8-(TODAY()))/(J$5-(TODAY())))))/((J$2-$A$8)/J$2)</f>
        <v>42.48552240449191</v>
      </c>
      <c r="K8" s="5">
        <f ca="1">(K4-($C$8*(($D$8-(TODAY()))/(K$5-(TODAY())))))/((K$2-$A$8)/K$2)</f>
        <v>73.372395833333329</v>
      </c>
      <c r="L8" s="5">
        <f ca="1">(L4-($C$8*(($D$8-(TODAY()))/(L$5-(TODAY())))))/((L$2-$A$8)/L$2)</f>
        <v>61.186602845450885</v>
      </c>
      <c r="M8" s="5">
        <f ca="1">(M4-($C$8*(($D$8-(TODAY()))/(M$5-(TODAY())))))/((M$2-$A$8)/M$2)</f>
        <v>65.082130237253907</v>
      </c>
      <c r="N8" s="5">
        <f ca="1">(N4-($C$8*(($D$8-(TODAY()))/(N$5-(TODAY())))))/((N$2-$A$8)/N$2)</f>
        <v>72.493994241807414</v>
      </c>
    </row>
    <row r="9" spans="1:14" x14ac:dyDescent="0.45">
      <c r="A9">
        <v>111</v>
      </c>
      <c r="B9" t="s">
        <v>5</v>
      </c>
      <c r="C9">
        <v>51.5</v>
      </c>
      <c r="D9" s="3">
        <v>46191</v>
      </c>
      <c r="E9" s="4"/>
      <c r="F9" s="4"/>
      <c r="G9" s="4"/>
      <c r="H9" s="4"/>
      <c r="I9" s="5">
        <f ca="1">(I4-($C$9*(($D$9-(TODAY()))/(I$5-(TODAY())))))/((I$2-$A$9)/I$2)</f>
        <v>58.374515712440804</v>
      </c>
      <c r="J9" s="5">
        <f ca="1">(J4-($C$9*(($D$9-(TODAY()))/(J$5-(TODAY())))))/((J$2-$A$9)/J$2)</f>
        <v>58.905276114810057</v>
      </c>
      <c r="K9" s="5">
        <f ca="1">(K4-($C$9*(($D$9-(TODAY()))/(K$5-(TODAY())))))/((K$2-$A$9)/K$2)</f>
        <v>88.166961298661803</v>
      </c>
      <c r="L9" s="5">
        <f ca="1">(L4-($C$9*(($D$9-(TODAY()))/(L$5-(TODAY())))))/((L$2-$A$9)/L$2)</f>
        <v>71.182825613205367</v>
      </c>
      <c r="M9" s="5">
        <f ca="1">(M4-($C$9*(($D$9-(TODAY()))/(M$5-(TODAY())))))/((M$2-$A$9)/M$2)</f>
        <v>73.350857820345922</v>
      </c>
      <c r="N9" s="5">
        <f ca="1">(N4-($C$9*(($D$9-(TODAY()))/(N$5-(TODAY())))))/((N$2-$A$9)/N$2)</f>
        <v>79.84712517982409</v>
      </c>
    </row>
    <row r="10" spans="1:14" x14ac:dyDescent="0.45">
      <c r="A10">
        <v>203</v>
      </c>
      <c r="B10" t="s">
        <v>6</v>
      </c>
      <c r="C10">
        <v>54.5</v>
      </c>
      <c r="D10" s="3">
        <v>46283</v>
      </c>
      <c r="E10" s="4"/>
      <c r="F10" s="4"/>
      <c r="G10" s="4"/>
      <c r="H10" s="4"/>
      <c r="I10" s="4"/>
      <c r="J10" s="5">
        <f ca="1">(J4-($C$10*(($D$10-(TODAY()))/(J$5-(TODAY())))))/((J$2-$A$10)/J$2)</f>
        <v>59.532160672092402</v>
      </c>
      <c r="K10" s="5">
        <f ca="1">(K4-($C$10*(($D$10-(TODAY()))/(K$5-(TODAY())))))/((K$2-$A$10)/K$2)</f>
        <v>103.2957732371795</v>
      </c>
      <c r="L10" s="5">
        <f ca="1">(L4-($C$10*(($D$10-(TODAY()))/(L$5-(TODAY())))))/((L$2-$A$10)/L$2)</f>
        <v>75.570861255894769</v>
      </c>
      <c r="M10" s="5">
        <f ca="1">(M4-($C$10*(($D$10-(TODAY()))/(M$5-(TODAY())))))/((M$2-$A$10)/M$2)</f>
        <v>77.182828214188646</v>
      </c>
      <c r="N10" s="5">
        <f ca="1">(N4-($C$10*(($D$10-(TODAY()))/(N$5-(TODAY())))))/((N$2-$A$10)/N$2)</f>
        <v>84.229106661983366</v>
      </c>
    </row>
    <row r="11" spans="1:14" x14ac:dyDescent="0.45">
      <c r="A11">
        <v>294</v>
      </c>
      <c r="B11" t="s">
        <v>7</v>
      </c>
      <c r="C11">
        <v>56</v>
      </c>
      <c r="D11" s="3">
        <v>46374</v>
      </c>
      <c r="E11" s="4"/>
      <c r="F11" s="4"/>
      <c r="G11" s="4"/>
      <c r="H11" s="4"/>
      <c r="I11" s="4"/>
      <c r="J11" s="4"/>
      <c r="K11" s="5">
        <f ca="1">(K4-($C$11*(($D$11-(TODAY()))/(K$5-(TODAY())))))/((K$2-$A$11)/K$2)</f>
        <v>147.10737179487177</v>
      </c>
      <c r="L11" s="5">
        <f ca="1">(L4-($C$11*(($D$11-(TODAY()))/(L$5-(TODAY())))))/((L$2-$A$11)/L$2)</f>
        <v>83.673392078700147</v>
      </c>
      <c r="M11" s="5">
        <f ca="1">(M4-($C$11*(($D$11-(TODAY()))/(M$5-(TODAY())))))/((M$2-$A$11)/M$2)</f>
        <v>83.098939929328623</v>
      </c>
      <c r="N11" s="5">
        <f ca="1">(N4-($C$11*(($D$11-(TODAY()))/(N$5-(TODAY())))))/((N$2-$A$11)/N$2)</f>
        <v>90.431389767006209</v>
      </c>
    </row>
    <row r="12" spans="1:14" x14ac:dyDescent="0.45">
      <c r="A12">
        <v>385</v>
      </c>
      <c r="B12" t="s">
        <v>8</v>
      </c>
      <c r="C12">
        <v>77.5</v>
      </c>
      <c r="D12" s="3">
        <v>46465</v>
      </c>
      <c r="E12" s="4"/>
      <c r="F12" s="4"/>
      <c r="G12" s="4"/>
      <c r="H12" s="4"/>
      <c r="I12" s="4"/>
      <c r="J12" s="4"/>
      <c r="K12" s="4"/>
      <c r="L12" s="5">
        <f ca="1">(L4-($C$12*(($D$12-(TODAY()))/(L$5-(TODAY())))))/((L$2-$A$12)/L$2)</f>
        <v>19.60794655414908</v>
      </c>
      <c r="M12" s="5">
        <f ca="1">(M4-($C$12*(($D$12-(TODAY()))/(M$5-(TODAY())))))/((M$2-$A$12)/M$2)</f>
        <v>51.156156564283762</v>
      </c>
      <c r="N12" s="5">
        <f ca="1">(N4-($C$12*(($D$12-(TODAY()))/(N$5-(TODAY())))))/((N$2-$A$12)/N$2)</f>
        <v>71.592319400538585</v>
      </c>
    </row>
    <row r="13" spans="1:14" x14ac:dyDescent="0.45">
      <c r="A13">
        <v>475</v>
      </c>
      <c r="B13" t="s">
        <v>9</v>
      </c>
      <c r="C13">
        <v>66.5</v>
      </c>
      <c r="D13" s="3">
        <v>46555</v>
      </c>
      <c r="E13" s="4"/>
      <c r="F13" s="4"/>
      <c r="G13" s="4"/>
      <c r="H13" s="4"/>
      <c r="I13" s="4"/>
      <c r="J13" s="4"/>
      <c r="K13" s="4"/>
      <c r="L13" s="4"/>
      <c r="M13" s="5">
        <f ca="1">(M4-($C$13*(($D$13-(TODAY()))/(M$5-(TODAY())))))/((M$2-$A$13)/M$2)</f>
        <v>82.025099861729956</v>
      </c>
      <c r="N13" s="5">
        <f ca="1">(N4-($C$13*(($D$13-(TODAY()))/(N$5-(TODAY())))))/((N$2-$A$13)/N$2)</f>
        <v>97.164059186066822</v>
      </c>
    </row>
    <row r="14" spans="1:14" x14ac:dyDescent="0.45">
      <c r="A14">
        <v>567</v>
      </c>
      <c r="B14" t="s">
        <v>10</v>
      </c>
      <c r="C14">
        <v>69</v>
      </c>
      <c r="D14" s="3">
        <v>46647</v>
      </c>
      <c r="E14" s="4"/>
      <c r="F14" s="4"/>
      <c r="G14" s="4"/>
      <c r="H14" s="4"/>
      <c r="I14" s="4"/>
      <c r="J14" s="4"/>
      <c r="K14" s="4"/>
      <c r="L14" s="4"/>
      <c r="M14" s="4"/>
      <c r="N14" s="5">
        <f ca="1">(N4-($C$14*(($D$14-(TODAY()))/(N$5-(TODAY())))))/((N$2-$A$14)/N$2)</f>
        <v>112.48963821566561</v>
      </c>
    </row>
    <row r="15" spans="1:14" x14ac:dyDescent="0.45">
      <c r="A15">
        <v>658</v>
      </c>
      <c r="B15" t="s">
        <v>11</v>
      </c>
      <c r="C15">
        <v>75</v>
      </c>
      <c r="D15" s="3">
        <v>46738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45">
      <c r="A16">
        <v>749</v>
      </c>
      <c r="B16" t="s">
        <v>15</v>
      </c>
      <c r="C16">
        <v>70</v>
      </c>
      <c r="D16" s="3">
        <v>46829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45">
      <c r="A17">
        <v>840</v>
      </c>
      <c r="B17" t="s">
        <v>16</v>
      </c>
      <c r="C17">
        <v>74.5</v>
      </c>
      <c r="D17" s="3">
        <v>46920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45">
      <c r="A18">
        <v>931</v>
      </c>
      <c r="B18" t="s">
        <v>17</v>
      </c>
      <c r="C18">
        <v>88</v>
      </c>
      <c r="D18" s="3">
        <v>47011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45">
      <c r="A19">
        <v>1022</v>
      </c>
      <c r="B19" t="s">
        <v>18</v>
      </c>
      <c r="C19">
        <v>74</v>
      </c>
      <c r="D19" s="3">
        <v>47102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45">
      <c r="A20">
        <v>1393</v>
      </c>
      <c r="B20" t="s">
        <v>19</v>
      </c>
      <c r="C20">
        <v>80</v>
      </c>
      <c r="D20" s="3">
        <v>47473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45">
      <c r="A21" s="7">
        <v>1757</v>
      </c>
      <c r="B21" s="7" t="s">
        <v>20</v>
      </c>
      <c r="C21" s="7">
        <v>88</v>
      </c>
      <c r="D21" s="8">
        <v>47837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45">
      <c r="A22">
        <v>2121</v>
      </c>
      <c r="B22" t="s">
        <v>21</v>
      </c>
      <c r="C22">
        <v>94.5</v>
      </c>
      <c r="D22" s="3">
        <v>48201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45">
      <c r="A23">
        <v>2485</v>
      </c>
      <c r="B23" t="s">
        <v>22</v>
      </c>
      <c r="C23">
        <v>103.5</v>
      </c>
      <c r="D23" s="3">
        <v>48565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45">
      <c r="A24">
        <v>2849</v>
      </c>
      <c r="B24" t="s">
        <v>23</v>
      </c>
      <c r="C24">
        <v>115</v>
      </c>
      <c r="D24" s="3">
        <v>48929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45">
      <c r="A25">
        <v>3213</v>
      </c>
      <c r="B25" t="s">
        <v>24</v>
      </c>
      <c r="C25">
        <v>120</v>
      </c>
      <c r="D25" s="3">
        <v>49293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45">
      <c r="A26">
        <v>3584</v>
      </c>
      <c r="B26" t="s">
        <v>25</v>
      </c>
      <c r="C26">
        <v>122</v>
      </c>
      <c r="D26" s="3">
        <v>49664</v>
      </c>
      <c r="E26" s="4"/>
      <c r="F26" s="4"/>
      <c r="G26" s="4"/>
      <c r="H26" s="4"/>
      <c r="I26" s="4"/>
      <c r="J26" s="4"/>
      <c r="K26" s="4"/>
      <c r="L26" s="4"/>
      <c r="M26" s="4"/>
      <c r="N2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 Spreads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Chow</cp:lastModifiedBy>
  <dcterms:created xsi:type="dcterms:W3CDTF">2026-02-28T20:59:18Z</dcterms:created>
  <dcterms:modified xsi:type="dcterms:W3CDTF">2026-02-28T21:22:28Z</dcterms:modified>
</cp:coreProperties>
</file>